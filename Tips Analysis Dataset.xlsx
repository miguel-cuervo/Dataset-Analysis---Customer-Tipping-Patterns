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uer\OneDrive\Desktop\"/>
    </mc:Choice>
  </mc:AlternateContent>
  <xr:revisionPtr revIDLastSave="0" documentId="13_ncr:1_{2172C734-9917-4CAE-8CAC-BFBCFC0ED70C}" xr6:coauthVersionLast="47" xr6:coauthVersionMax="47" xr10:uidLastSave="{00000000-0000-0000-0000-000000000000}"/>
  <bookViews>
    <workbookView xWindow="-108" yWindow="-108" windowWidth="23256" windowHeight="12456" activeTab="1" xr2:uid="{560E55CF-9FEB-4831-8A56-830FC775DA85}"/>
  </bookViews>
  <sheets>
    <sheet name="tips" sheetId="1" r:id="rId1"/>
    <sheet name="dashboard" sheetId="2" r:id="rId2"/>
  </sheets>
  <definedNames>
    <definedName name="_xlchart.v1.0" hidden="1">tips!$C$1</definedName>
    <definedName name="_xlchart.v1.1" hidden="1">tips!$C$2:$C$245</definedName>
    <definedName name="SegmentaciónDeDatos_day">#N/A</definedName>
    <definedName name="SegmentaciónDeDatos_sex">#N/A</definedName>
    <definedName name="SegmentaciónDeDatos_smoker">#N/A</definedName>
    <definedName name="SegmentaciónDeDatos_smoker1">#N/A</definedName>
    <definedName name="SegmentaciónDeDatos_table_size">#N/A</definedName>
    <definedName name="SegmentaciónDeDatos_time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I133" i="1"/>
  <c r="I221" i="1"/>
  <c r="I83" i="1"/>
  <c r="I67" i="1"/>
  <c r="I59" i="1"/>
  <c r="I54" i="1"/>
  <c r="I234" i="1"/>
  <c r="I47" i="1"/>
  <c r="I164" i="1"/>
  <c r="I167" i="1"/>
  <c r="I225" i="1"/>
  <c r="I17" i="1"/>
  <c r="I160" i="1"/>
  <c r="I110" i="1"/>
  <c r="I166" i="1"/>
  <c r="I80" i="1"/>
  <c r="I223" i="1"/>
  <c r="I146" i="1"/>
  <c r="I134" i="1"/>
  <c r="I90" i="1"/>
  <c r="I119" i="1"/>
  <c r="I95" i="1"/>
  <c r="I155" i="1"/>
  <c r="I12" i="1"/>
  <c r="I99" i="1"/>
  <c r="I123" i="1"/>
  <c r="I184" i="1"/>
  <c r="I195" i="1"/>
  <c r="I79" i="1"/>
  <c r="I102" i="1"/>
  <c r="I233" i="1"/>
  <c r="I111" i="1"/>
  <c r="I163" i="1"/>
  <c r="I89" i="1"/>
  <c r="I124" i="1"/>
  <c r="I64" i="1"/>
  <c r="I145" i="1"/>
  <c r="I135" i="1"/>
  <c r="I108" i="1"/>
  <c r="I29" i="1"/>
  <c r="I149" i="1"/>
  <c r="I128" i="1"/>
  <c r="I176" i="1"/>
  <c r="I231" i="1"/>
  <c r="I31" i="1"/>
  <c r="I113" i="1"/>
  <c r="I77" i="1"/>
  <c r="I26" i="1"/>
  <c r="I39" i="1"/>
  <c r="I118" i="1"/>
  <c r="I198" i="1"/>
  <c r="I224" i="1"/>
  <c r="I19" i="1"/>
  <c r="I229" i="1"/>
  <c r="I53" i="1"/>
  <c r="I103" i="1"/>
  <c r="I15" i="1"/>
  <c r="I50" i="1"/>
  <c r="I212" i="1"/>
  <c r="I4" i="1"/>
  <c r="I94" i="1"/>
  <c r="I177" i="1"/>
  <c r="I214" i="1"/>
  <c r="I112" i="1"/>
  <c r="I125" i="1"/>
  <c r="I98" i="1"/>
  <c r="I141" i="1"/>
  <c r="I245" i="1"/>
  <c r="I97" i="1"/>
  <c r="I165" i="1"/>
  <c r="I205" i="1"/>
  <c r="I132" i="1"/>
  <c r="I48" i="1"/>
  <c r="I55" i="1"/>
  <c r="I168" i="1"/>
  <c r="I219" i="1"/>
  <c r="I120" i="1"/>
  <c r="I44" i="1"/>
  <c r="I72" i="1"/>
  <c r="I130" i="1"/>
  <c r="I104" i="1"/>
  <c r="I137" i="1"/>
  <c r="I227" i="1"/>
  <c r="I25" i="1"/>
  <c r="I152" i="1"/>
  <c r="I18" i="1"/>
  <c r="I189" i="1"/>
  <c r="I114" i="1"/>
  <c r="I58" i="1"/>
  <c r="I82" i="1"/>
  <c r="I38" i="1"/>
  <c r="I75" i="1"/>
  <c r="I244" i="1"/>
  <c r="I144" i="1"/>
  <c r="I73" i="1"/>
  <c r="I11" i="1"/>
  <c r="I43" i="1"/>
  <c r="I204" i="1"/>
  <c r="I84" i="1"/>
  <c r="I200" i="1"/>
  <c r="I211" i="1"/>
  <c r="I161" i="1"/>
  <c r="I7" i="1"/>
  <c r="I76" i="1"/>
  <c r="I85" i="1"/>
  <c r="I162" i="1"/>
  <c r="I92" i="1"/>
  <c r="I56" i="1"/>
  <c r="I116" i="1"/>
  <c r="I171" i="1"/>
  <c r="I175" i="1"/>
  <c r="I243" i="1"/>
  <c r="I14" i="1"/>
  <c r="I66" i="1"/>
  <c r="I52" i="1"/>
  <c r="I129" i="1"/>
  <c r="I34" i="1"/>
  <c r="I216" i="1"/>
  <c r="I201" i="1"/>
  <c r="I63" i="1"/>
  <c r="I207" i="1"/>
  <c r="I181" i="1"/>
  <c r="I172" i="1"/>
  <c r="I153" i="1"/>
  <c r="I199" i="1"/>
  <c r="I36" i="1"/>
  <c r="I236" i="1"/>
  <c r="I169" i="1"/>
  <c r="I210" i="1"/>
  <c r="I71" i="1"/>
  <c r="I105" i="1"/>
  <c r="I96" i="1"/>
  <c r="I213" i="1"/>
  <c r="I202" i="1"/>
  <c r="I115" i="1"/>
  <c r="I237" i="1"/>
  <c r="I222" i="1"/>
  <c r="I173" i="1"/>
  <c r="I150" i="1"/>
  <c r="I187" i="1"/>
  <c r="I127" i="1"/>
  <c r="I22" i="1"/>
  <c r="I9" i="1"/>
  <c r="I46" i="1"/>
  <c r="I142" i="1"/>
  <c r="I238" i="1"/>
  <c r="I109" i="1"/>
  <c r="I206" i="1"/>
  <c r="I230" i="1"/>
  <c r="I241" i="1"/>
  <c r="I174" i="1"/>
  <c r="I188" i="1"/>
  <c r="I131" i="1"/>
  <c r="I60" i="1"/>
  <c r="I101" i="1"/>
  <c r="I35" i="1"/>
  <c r="I5" i="1"/>
  <c r="I57" i="1"/>
  <c r="I183" i="1"/>
  <c r="I139" i="1"/>
  <c r="I81" i="1"/>
  <c r="I196" i="1"/>
  <c r="I148" i="1"/>
  <c r="I178" i="1"/>
  <c r="I126" i="1"/>
  <c r="I61" i="1"/>
  <c r="I87" i="1"/>
  <c r="I28" i="1"/>
  <c r="I218" i="1"/>
  <c r="I217" i="1"/>
  <c r="I2" i="1"/>
  <c r="I154" i="1"/>
  <c r="I242" i="1"/>
  <c r="I27" i="1"/>
  <c r="I136" i="1"/>
  <c r="I23" i="1"/>
  <c r="I121" i="1"/>
  <c r="I170" i="1"/>
  <c r="I232" i="1"/>
  <c r="I21" i="1"/>
  <c r="I20" i="1"/>
  <c r="I68" i="1"/>
  <c r="I6" i="1"/>
  <c r="I69" i="1"/>
  <c r="I10" i="1"/>
  <c r="I88" i="1"/>
  <c r="I86" i="1"/>
  <c r="I30" i="1"/>
  <c r="I117" i="1"/>
  <c r="I70" i="1"/>
  <c r="I157" i="1"/>
  <c r="I100" i="1"/>
  <c r="I40" i="1"/>
  <c r="I159" i="1"/>
  <c r="I138" i="1"/>
  <c r="I240" i="1"/>
  <c r="I220" i="1"/>
  <c r="I8" i="1"/>
  <c r="I190" i="1"/>
  <c r="I179" i="1"/>
  <c r="I107" i="1"/>
  <c r="I194" i="1"/>
  <c r="I191" i="1"/>
  <c r="I143" i="1"/>
  <c r="I91" i="1"/>
  <c r="I140" i="1"/>
  <c r="I49" i="1"/>
  <c r="I13" i="1"/>
  <c r="I62" i="1"/>
  <c r="I193" i="1"/>
  <c r="I33" i="1"/>
  <c r="I51" i="1"/>
  <c r="I3" i="1"/>
  <c r="I186" i="1"/>
  <c r="I41" i="1"/>
  <c r="I192" i="1"/>
  <c r="I42" i="1"/>
  <c r="I209" i="1"/>
  <c r="I239" i="1"/>
  <c r="I32" i="1"/>
  <c r="I203" i="1"/>
  <c r="I180" i="1"/>
  <c r="I235" i="1"/>
  <c r="I151" i="1"/>
  <c r="I182" i="1"/>
  <c r="I147" i="1"/>
  <c r="I226" i="1"/>
  <c r="I93" i="1"/>
  <c r="I185" i="1"/>
  <c r="I78" i="1"/>
  <c r="I65" i="1"/>
  <c r="I156" i="1"/>
  <c r="I208" i="1"/>
  <c r="I215" i="1"/>
  <c r="I158" i="1"/>
  <c r="I228" i="1"/>
  <c r="I197" i="1"/>
  <c r="I24" i="1"/>
  <c r="I16" i="1"/>
  <c r="I37" i="1"/>
  <c r="I45" i="1"/>
  <c r="I74" i="1"/>
  <c r="I122" i="1"/>
  <c r="I106" i="1"/>
  <c r="C221" i="1"/>
  <c r="C83" i="1"/>
  <c r="C67" i="1"/>
  <c r="C59" i="1"/>
  <c r="C54" i="1"/>
  <c r="C234" i="1"/>
  <c r="C47" i="1"/>
  <c r="C164" i="1"/>
  <c r="C167" i="1"/>
  <c r="C225" i="1"/>
  <c r="C17" i="1"/>
  <c r="C160" i="1"/>
  <c r="C110" i="1"/>
  <c r="C166" i="1"/>
  <c r="C80" i="1"/>
  <c r="C223" i="1"/>
  <c r="C146" i="1"/>
  <c r="C134" i="1"/>
  <c r="C90" i="1"/>
  <c r="C119" i="1"/>
  <c r="C95" i="1"/>
  <c r="C155" i="1"/>
  <c r="C12" i="1"/>
  <c r="C99" i="1"/>
  <c r="C123" i="1"/>
  <c r="C184" i="1"/>
  <c r="C195" i="1"/>
  <c r="C79" i="1"/>
  <c r="C102" i="1"/>
  <c r="C233" i="1"/>
  <c r="C111" i="1"/>
  <c r="C163" i="1"/>
  <c r="C89" i="1"/>
  <c r="C124" i="1"/>
  <c r="C64" i="1"/>
  <c r="C145" i="1"/>
  <c r="C135" i="1"/>
  <c r="C108" i="1"/>
  <c r="C29" i="1"/>
  <c r="C149" i="1"/>
  <c r="C128" i="1"/>
  <c r="C176" i="1"/>
  <c r="C231" i="1"/>
  <c r="C31" i="1"/>
  <c r="C113" i="1"/>
  <c r="C77" i="1"/>
  <c r="C26" i="1"/>
  <c r="C39" i="1"/>
  <c r="C118" i="1"/>
  <c r="C198" i="1"/>
  <c r="C224" i="1"/>
  <c r="C19" i="1"/>
  <c r="C229" i="1"/>
  <c r="C53" i="1"/>
  <c r="C103" i="1"/>
  <c r="C15" i="1"/>
  <c r="C50" i="1"/>
  <c r="C212" i="1"/>
  <c r="C4" i="1"/>
  <c r="C94" i="1"/>
  <c r="C177" i="1"/>
  <c r="C214" i="1"/>
  <c r="C112" i="1"/>
  <c r="C125" i="1"/>
  <c r="C98" i="1"/>
  <c r="C141" i="1"/>
  <c r="C245" i="1"/>
  <c r="C97" i="1"/>
  <c r="C165" i="1"/>
  <c r="C205" i="1"/>
  <c r="C132" i="1"/>
  <c r="C48" i="1"/>
  <c r="C55" i="1"/>
  <c r="C168" i="1"/>
  <c r="C219" i="1"/>
  <c r="C120" i="1"/>
  <c r="C44" i="1"/>
  <c r="C72" i="1"/>
  <c r="C130" i="1"/>
  <c r="C104" i="1"/>
  <c r="C137" i="1"/>
  <c r="C227" i="1"/>
  <c r="C25" i="1"/>
  <c r="C152" i="1"/>
  <c r="C18" i="1"/>
  <c r="C189" i="1"/>
  <c r="C114" i="1"/>
  <c r="C58" i="1"/>
  <c r="C82" i="1"/>
  <c r="C38" i="1"/>
  <c r="C75" i="1"/>
  <c r="C244" i="1"/>
  <c r="C144" i="1"/>
  <c r="C73" i="1"/>
  <c r="C11" i="1"/>
  <c r="C43" i="1"/>
  <c r="C204" i="1"/>
  <c r="C84" i="1"/>
  <c r="C200" i="1"/>
  <c r="C211" i="1"/>
  <c r="C161" i="1"/>
  <c r="C7" i="1"/>
  <c r="C76" i="1"/>
  <c r="C85" i="1"/>
  <c r="C162" i="1"/>
  <c r="C92" i="1"/>
  <c r="C56" i="1"/>
  <c r="C116" i="1"/>
  <c r="C171" i="1"/>
  <c r="C175" i="1"/>
  <c r="C243" i="1"/>
  <c r="C14" i="1"/>
  <c r="C66" i="1"/>
  <c r="C52" i="1"/>
  <c r="C129" i="1"/>
  <c r="C34" i="1"/>
  <c r="C216" i="1"/>
  <c r="C201" i="1"/>
  <c r="C63" i="1"/>
  <c r="C207" i="1"/>
  <c r="C181" i="1"/>
  <c r="C172" i="1"/>
  <c r="C153" i="1"/>
  <c r="C199" i="1"/>
  <c r="C36" i="1"/>
  <c r="C236" i="1"/>
  <c r="C169" i="1"/>
  <c r="C210" i="1"/>
  <c r="C71" i="1"/>
  <c r="C105" i="1"/>
  <c r="C96" i="1"/>
  <c r="C213" i="1"/>
  <c r="C202" i="1"/>
  <c r="C115" i="1"/>
  <c r="C237" i="1"/>
  <c r="C222" i="1"/>
  <c r="C173" i="1"/>
  <c r="C150" i="1"/>
  <c r="C187" i="1"/>
  <c r="C127" i="1"/>
  <c r="C22" i="1"/>
  <c r="C9" i="1"/>
  <c r="C46" i="1"/>
  <c r="C142" i="1"/>
  <c r="C238" i="1"/>
  <c r="C109" i="1"/>
  <c r="C206" i="1"/>
  <c r="C230" i="1"/>
  <c r="C241" i="1"/>
  <c r="C174" i="1"/>
  <c r="C188" i="1"/>
  <c r="C131" i="1"/>
  <c r="C60" i="1"/>
  <c r="C101" i="1"/>
  <c r="C35" i="1"/>
  <c r="C5" i="1"/>
  <c r="C57" i="1"/>
  <c r="C183" i="1"/>
  <c r="C139" i="1"/>
  <c r="C81" i="1"/>
  <c r="C196" i="1"/>
  <c r="C148" i="1"/>
  <c r="C178" i="1"/>
  <c r="C126" i="1"/>
  <c r="C61" i="1"/>
  <c r="C87" i="1"/>
  <c r="C28" i="1"/>
  <c r="C218" i="1"/>
  <c r="C217" i="1"/>
  <c r="C2" i="1"/>
  <c r="C154" i="1"/>
  <c r="C242" i="1"/>
  <c r="C27" i="1"/>
  <c r="C136" i="1"/>
  <c r="C23" i="1"/>
  <c r="C121" i="1"/>
  <c r="C170" i="1"/>
  <c r="C232" i="1"/>
  <c r="C21" i="1"/>
  <c r="C20" i="1"/>
  <c r="C68" i="1"/>
  <c r="C6" i="1"/>
  <c r="C69" i="1"/>
  <c r="C10" i="1"/>
  <c r="C88" i="1"/>
  <c r="C86" i="1"/>
  <c r="C30" i="1"/>
  <c r="C117" i="1"/>
  <c r="C70" i="1"/>
  <c r="C157" i="1"/>
  <c r="C100" i="1"/>
  <c r="C40" i="1"/>
  <c r="C159" i="1"/>
  <c r="C138" i="1"/>
  <c r="C240" i="1"/>
  <c r="C220" i="1"/>
  <c r="C8" i="1"/>
  <c r="C190" i="1"/>
  <c r="C179" i="1"/>
  <c r="C107" i="1"/>
  <c r="C194" i="1"/>
  <c r="C191" i="1"/>
  <c r="C143" i="1"/>
  <c r="C91" i="1"/>
  <c r="C140" i="1"/>
  <c r="C49" i="1"/>
  <c r="C13" i="1"/>
  <c r="C62" i="1"/>
  <c r="C193" i="1"/>
  <c r="C33" i="1"/>
  <c r="C51" i="1"/>
  <c r="C3" i="1"/>
  <c r="C186" i="1"/>
  <c r="C41" i="1"/>
  <c r="C192" i="1"/>
  <c r="C42" i="1"/>
  <c r="C209" i="1"/>
  <c r="C239" i="1"/>
  <c r="C32" i="1"/>
  <c r="C203" i="1"/>
  <c r="C180" i="1"/>
  <c r="C235" i="1"/>
  <c r="C151" i="1"/>
  <c r="C182" i="1"/>
  <c r="C147" i="1"/>
  <c r="C226" i="1"/>
  <c r="C93" i="1"/>
  <c r="C185" i="1"/>
  <c r="C78" i="1"/>
  <c r="C65" i="1"/>
  <c r="C156" i="1"/>
  <c r="C208" i="1"/>
  <c r="C215" i="1"/>
  <c r="C158" i="1"/>
  <c r="C228" i="1"/>
  <c r="C197" i="1"/>
  <c r="C24" i="1"/>
  <c r="C16" i="1"/>
  <c r="C37" i="1"/>
  <c r="C45" i="1"/>
  <c r="C74" i="1"/>
  <c r="C122" i="1"/>
  <c r="C106" i="1"/>
  <c r="C133" i="1"/>
</calcChain>
</file>

<file path=xl/sharedStrings.xml><?xml version="1.0" encoding="utf-8"?>
<sst xmlns="http://schemas.openxmlformats.org/spreadsheetml/2006/main" count="1024" uniqueCount="29">
  <si>
    <t xml:space="preserve"> total_bill </t>
  </si>
  <si>
    <t xml:space="preserve"> tip </t>
  </si>
  <si>
    <t xml:space="preserve"> tip_percent </t>
  </si>
  <si>
    <t>sex</t>
  </si>
  <si>
    <t>smoker</t>
  </si>
  <si>
    <t>day</t>
  </si>
  <si>
    <t>time</t>
  </si>
  <si>
    <t>table_size</t>
  </si>
  <si>
    <t>avg tip_percent</t>
  </si>
  <si>
    <t>Female</t>
  </si>
  <si>
    <t>No</t>
  </si>
  <si>
    <t>Sun</t>
  </si>
  <si>
    <t>Dinner</t>
  </si>
  <si>
    <t>Male</t>
  </si>
  <si>
    <t>Yes</t>
  </si>
  <si>
    <t>Fri</t>
  </si>
  <si>
    <t>Lunch</t>
  </si>
  <si>
    <t>Sat</t>
  </si>
  <si>
    <t>Thur</t>
  </si>
  <si>
    <t>avg</t>
  </si>
  <si>
    <t>bill_pperson</t>
  </si>
  <si>
    <t xml:space="preserve">Promedio de  tip_percent </t>
  </si>
  <si>
    <t xml:space="preserve">Day </t>
  </si>
  <si>
    <t xml:space="preserve"> </t>
  </si>
  <si>
    <t>Size</t>
  </si>
  <si>
    <t>Time</t>
  </si>
  <si>
    <t>Smoker</t>
  </si>
  <si>
    <t xml:space="preserve">  </t>
  </si>
  <si>
    <t>DASHBOARD ANÁLISIS DE PROPINAS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</si>
</sst>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3" fillId="33" borderId="11" xfId="0" applyFont="1" applyFill="1" applyBorder="1" applyAlignment="1">
      <alignment horizontal="center"/>
    </xf>
    <xf numFmtId="9" fontId="0" fillId="0" borderId="0" xfId="43" applyFont="1" applyAlignment="1">
      <alignment horizontal="center"/>
    </xf>
    <xf numFmtId="44" fontId="0" fillId="0" borderId="0" xfId="42" applyFont="1" applyAlignment="1">
      <alignment horizontal="center"/>
    </xf>
    <xf numFmtId="44" fontId="0" fillId="0" borderId="0" xfId="42" applyFont="1"/>
    <xf numFmtId="44" fontId="0" fillId="0" borderId="10" xfId="42" applyFont="1" applyBorder="1" applyAlignment="1">
      <alignment horizontal="center"/>
    </xf>
    <xf numFmtId="9" fontId="0" fillId="0" borderId="10" xfId="43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8" fillId="0" borderId="0" xfId="0" applyFont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tyles" Target="styles.xml"/><Relationship Id="rId5" Type="http://schemas.microsoft.com/office/2007/relationships/slicerCache" Target="slicerCaches/slicerCache2.xml"/><Relationship Id="rId10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Relación</a:t>
            </a:r>
            <a:r>
              <a:rPr lang="en-US" baseline="0"/>
              <a:t> Cuenta Total vs Porcentaje de Propina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tips!$C$1</c:f>
              <c:strCache>
                <c:ptCount val="1"/>
                <c:pt idx="0">
                  <c:v> tip_percent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tips!$A$2:$A$245</c:f>
              <c:numCache>
                <c:formatCode>"$"#,##0.00_);[Red]\("$"#,##0.00\)</c:formatCode>
                <c:ptCount val="244"/>
                <c:pt idx="0">
                  <c:v>50.81</c:v>
                </c:pt>
                <c:pt idx="1">
                  <c:v>48.33</c:v>
                </c:pt>
                <c:pt idx="2">
                  <c:v>48.27</c:v>
                </c:pt>
                <c:pt idx="3">
                  <c:v>48.17</c:v>
                </c:pt>
                <c:pt idx="4">
                  <c:v>45.35</c:v>
                </c:pt>
                <c:pt idx="5">
                  <c:v>44.3</c:v>
                </c:pt>
                <c:pt idx="6">
                  <c:v>43.11</c:v>
                </c:pt>
                <c:pt idx="7">
                  <c:v>41.19</c:v>
                </c:pt>
                <c:pt idx="8">
                  <c:v>40.549999999999997</c:v>
                </c:pt>
                <c:pt idx="9">
                  <c:v>40.17</c:v>
                </c:pt>
                <c:pt idx="10">
                  <c:v>39.42</c:v>
                </c:pt>
                <c:pt idx="11">
                  <c:v>38.729999999999997</c:v>
                </c:pt>
                <c:pt idx="12">
                  <c:v>38.07</c:v>
                </c:pt>
                <c:pt idx="13">
                  <c:v>38.01</c:v>
                </c:pt>
                <c:pt idx="14">
                  <c:v>35.83</c:v>
                </c:pt>
                <c:pt idx="15">
                  <c:v>35.26</c:v>
                </c:pt>
                <c:pt idx="16">
                  <c:v>34.83</c:v>
                </c:pt>
                <c:pt idx="17">
                  <c:v>34.81</c:v>
                </c:pt>
                <c:pt idx="18">
                  <c:v>34.65</c:v>
                </c:pt>
                <c:pt idx="19">
                  <c:v>34.630000000000003</c:v>
                </c:pt>
                <c:pt idx="20">
                  <c:v>34.299999999999997</c:v>
                </c:pt>
                <c:pt idx="21">
                  <c:v>32.9</c:v>
                </c:pt>
                <c:pt idx="22">
                  <c:v>32.83</c:v>
                </c:pt>
                <c:pt idx="23">
                  <c:v>32.68</c:v>
                </c:pt>
                <c:pt idx="24">
                  <c:v>32.4</c:v>
                </c:pt>
                <c:pt idx="25">
                  <c:v>31.85</c:v>
                </c:pt>
                <c:pt idx="26">
                  <c:v>31.71</c:v>
                </c:pt>
                <c:pt idx="27">
                  <c:v>31.27</c:v>
                </c:pt>
                <c:pt idx="28">
                  <c:v>30.46</c:v>
                </c:pt>
                <c:pt idx="29">
                  <c:v>30.4</c:v>
                </c:pt>
                <c:pt idx="30">
                  <c:v>30.14</c:v>
                </c:pt>
                <c:pt idx="31">
                  <c:v>30.06</c:v>
                </c:pt>
                <c:pt idx="32">
                  <c:v>29.93</c:v>
                </c:pt>
                <c:pt idx="33">
                  <c:v>29.85</c:v>
                </c:pt>
                <c:pt idx="34">
                  <c:v>29.8</c:v>
                </c:pt>
                <c:pt idx="35">
                  <c:v>29.03</c:v>
                </c:pt>
                <c:pt idx="36">
                  <c:v>28.97</c:v>
                </c:pt>
                <c:pt idx="37">
                  <c:v>28.55</c:v>
                </c:pt>
                <c:pt idx="38">
                  <c:v>28.44</c:v>
                </c:pt>
                <c:pt idx="39">
                  <c:v>28.17</c:v>
                </c:pt>
                <c:pt idx="40">
                  <c:v>28.15</c:v>
                </c:pt>
                <c:pt idx="41">
                  <c:v>27.28</c:v>
                </c:pt>
                <c:pt idx="42">
                  <c:v>27.2</c:v>
                </c:pt>
                <c:pt idx="43">
                  <c:v>27.18</c:v>
                </c:pt>
                <c:pt idx="44">
                  <c:v>27.05</c:v>
                </c:pt>
                <c:pt idx="45">
                  <c:v>26.88</c:v>
                </c:pt>
                <c:pt idx="46">
                  <c:v>26.86</c:v>
                </c:pt>
                <c:pt idx="47">
                  <c:v>26.59</c:v>
                </c:pt>
                <c:pt idx="48">
                  <c:v>26.41</c:v>
                </c:pt>
                <c:pt idx="49">
                  <c:v>25.89</c:v>
                </c:pt>
                <c:pt idx="50">
                  <c:v>25.71</c:v>
                </c:pt>
                <c:pt idx="51">
                  <c:v>25.56</c:v>
                </c:pt>
                <c:pt idx="52">
                  <c:v>25.29</c:v>
                </c:pt>
                <c:pt idx="53">
                  <c:v>25.28</c:v>
                </c:pt>
                <c:pt idx="54">
                  <c:v>25.21</c:v>
                </c:pt>
                <c:pt idx="55">
                  <c:v>25</c:v>
                </c:pt>
                <c:pt idx="56">
                  <c:v>24.71</c:v>
                </c:pt>
                <c:pt idx="57">
                  <c:v>24.59</c:v>
                </c:pt>
                <c:pt idx="58">
                  <c:v>24.55</c:v>
                </c:pt>
                <c:pt idx="59">
                  <c:v>24.52</c:v>
                </c:pt>
                <c:pt idx="60">
                  <c:v>24.27</c:v>
                </c:pt>
                <c:pt idx="61">
                  <c:v>24.08</c:v>
                </c:pt>
                <c:pt idx="62">
                  <c:v>24.06</c:v>
                </c:pt>
                <c:pt idx="63">
                  <c:v>24.01</c:v>
                </c:pt>
                <c:pt idx="64">
                  <c:v>23.95</c:v>
                </c:pt>
                <c:pt idx="65">
                  <c:v>23.68</c:v>
                </c:pt>
                <c:pt idx="66">
                  <c:v>23.33</c:v>
                </c:pt>
                <c:pt idx="67">
                  <c:v>23.17</c:v>
                </c:pt>
                <c:pt idx="68">
                  <c:v>23.1</c:v>
                </c:pt>
                <c:pt idx="69">
                  <c:v>22.82</c:v>
                </c:pt>
                <c:pt idx="70">
                  <c:v>22.76</c:v>
                </c:pt>
                <c:pt idx="71">
                  <c:v>22.75</c:v>
                </c:pt>
                <c:pt idx="72">
                  <c:v>22.67</c:v>
                </c:pt>
                <c:pt idx="73">
                  <c:v>22.49</c:v>
                </c:pt>
                <c:pt idx="74">
                  <c:v>22.42</c:v>
                </c:pt>
                <c:pt idx="75">
                  <c:v>22.23</c:v>
                </c:pt>
                <c:pt idx="76">
                  <c:v>22.12</c:v>
                </c:pt>
                <c:pt idx="77">
                  <c:v>21.7</c:v>
                </c:pt>
                <c:pt idx="78">
                  <c:v>21.58</c:v>
                </c:pt>
                <c:pt idx="79">
                  <c:v>21.5</c:v>
                </c:pt>
                <c:pt idx="80">
                  <c:v>21.16</c:v>
                </c:pt>
                <c:pt idx="81">
                  <c:v>21.01</c:v>
                </c:pt>
                <c:pt idx="82">
                  <c:v>21.01</c:v>
                </c:pt>
                <c:pt idx="83">
                  <c:v>20.92</c:v>
                </c:pt>
                <c:pt idx="84">
                  <c:v>20.9</c:v>
                </c:pt>
                <c:pt idx="85">
                  <c:v>20.76</c:v>
                </c:pt>
                <c:pt idx="86">
                  <c:v>20.69</c:v>
                </c:pt>
                <c:pt idx="87">
                  <c:v>20.69</c:v>
                </c:pt>
                <c:pt idx="88">
                  <c:v>20.65</c:v>
                </c:pt>
                <c:pt idx="89">
                  <c:v>20.53</c:v>
                </c:pt>
                <c:pt idx="90">
                  <c:v>20.49</c:v>
                </c:pt>
                <c:pt idx="91">
                  <c:v>20.45</c:v>
                </c:pt>
                <c:pt idx="92">
                  <c:v>20.29</c:v>
                </c:pt>
                <c:pt idx="93">
                  <c:v>20.29</c:v>
                </c:pt>
                <c:pt idx="94">
                  <c:v>20.27</c:v>
                </c:pt>
                <c:pt idx="95">
                  <c:v>20.23</c:v>
                </c:pt>
                <c:pt idx="96">
                  <c:v>20.079999999999998</c:v>
                </c:pt>
                <c:pt idx="97">
                  <c:v>19.82</c:v>
                </c:pt>
                <c:pt idx="98">
                  <c:v>19.809999999999999</c:v>
                </c:pt>
                <c:pt idx="99">
                  <c:v>19.77</c:v>
                </c:pt>
                <c:pt idx="100">
                  <c:v>19.649999999999999</c:v>
                </c:pt>
                <c:pt idx="101">
                  <c:v>19.489999999999998</c:v>
                </c:pt>
                <c:pt idx="102">
                  <c:v>19.440000000000001</c:v>
                </c:pt>
                <c:pt idx="103">
                  <c:v>19.079999999999998</c:v>
                </c:pt>
                <c:pt idx="104">
                  <c:v>18.78</c:v>
                </c:pt>
                <c:pt idx="105">
                  <c:v>18.71</c:v>
                </c:pt>
                <c:pt idx="106">
                  <c:v>18.690000000000001</c:v>
                </c:pt>
                <c:pt idx="107">
                  <c:v>18.64</c:v>
                </c:pt>
                <c:pt idx="108">
                  <c:v>18.43</c:v>
                </c:pt>
                <c:pt idx="109">
                  <c:v>18.350000000000001</c:v>
                </c:pt>
                <c:pt idx="110">
                  <c:v>18.29</c:v>
                </c:pt>
                <c:pt idx="111">
                  <c:v>18.29</c:v>
                </c:pt>
                <c:pt idx="112">
                  <c:v>18.28</c:v>
                </c:pt>
                <c:pt idx="113">
                  <c:v>18.260000000000002</c:v>
                </c:pt>
                <c:pt idx="114">
                  <c:v>18.239999999999998</c:v>
                </c:pt>
                <c:pt idx="115">
                  <c:v>18.149999999999999</c:v>
                </c:pt>
                <c:pt idx="116">
                  <c:v>18.04</c:v>
                </c:pt>
                <c:pt idx="117">
                  <c:v>17.920000000000002</c:v>
                </c:pt>
                <c:pt idx="118">
                  <c:v>17.920000000000002</c:v>
                </c:pt>
                <c:pt idx="119">
                  <c:v>17.89</c:v>
                </c:pt>
                <c:pt idx="120">
                  <c:v>17.82</c:v>
                </c:pt>
                <c:pt idx="121">
                  <c:v>17.809999999999999</c:v>
                </c:pt>
                <c:pt idx="122">
                  <c:v>17.78</c:v>
                </c:pt>
                <c:pt idx="123">
                  <c:v>17.59</c:v>
                </c:pt>
                <c:pt idx="124">
                  <c:v>17.510000000000002</c:v>
                </c:pt>
                <c:pt idx="125">
                  <c:v>17.47</c:v>
                </c:pt>
                <c:pt idx="126">
                  <c:v>17.46</c:v>
                </c:pt>
                <c:pt idx="127">
                  <c:v>17.309999999999999</c:v>
                </c:pt>
                <c:pt idx="128">
                  <c:v>17.29</c:v>
                </c:pt>
                <c:pt idx="129">
                  <c:v>17.260000000000002</c:v>
                </c:pt>
                <c:pt idx="130">
                  <c:v>17.07</c:v>
                </c:pt>
                <c:pt idx="131">
                  <c:v>16.989999999999998</c:v>
                </c:pt>
                <c:pt idx="132">
                  <c:v>16.97</c:v>
                </c:pt>
                <c:pt idx="133">
                  <c:v>16.93</c:v>
                </c:pt>
                <c:pt idx="134">
                  <c:v>16.82</c:v>
                </c:pt>
                <c:pt idx="135">
                  <c:v>16.66</c:v>
                </c:pt>
                <c:pt idx="136">
                  <c:v>16.579999999999998</c:v>
                </c:pt>
                <c:pt idx="137">
                  <c:v>16.489999999999998</c:v>
                </c:pt>
                <c:pt idx="138">
                  <c:v>16.47</c:v>
                </c:pt>
                <c:pt idx="139">
                  <c:v>16.45</c:v>
                </c:pt>
                <c:pt idx="140">
                  <c:v>16.43</c:v>
                </c:pt>
                <c:pt idx="141">
                  <c:v>16.399999999999999</c:v>
                </c:pt>
                <c:pt idx="142">
                  <c:v>16.32</c:v>
                </c:pt>
                <c:pt idx="143">
                  <c:v>16.309999999999999</c:v>
                </c:pt>
                <c:pt idx="144">
                  <c:v>16.29</c:v>
                </c:pt>
                <c:pt idx="145">
                  <c:v>16.27</c:v>
                </c:pt>
                <c:pt idx="146">
                  <c:v>16.21</c:v>
                </c:pt>
                <c:pt idx="147">
                  <c:v>16.04</c:v>
                </c:pt>
                <c:pt idx="148">
                  <c:v>16</c:v>
                </c:pt>
                <c:pt idx="149">
                  <c:v>15.98</c:v>
                </c:pt>
                <c:pt idx="150">
                  <c:v>15.98</c:v>
                </c:pt>
                <c:pt idx="151">
                  <c:v>15.95</c:v>
                </c:pt>
                <c:pt idx="152">
                  <c:v>15.81</c:v>
                </c:pt>
                <c:pt idx="153">
                  <c:v>15.77</c:v>
                </c:pt>
                <c:pt idx="154">
                  <c:v>15.69</c:v>
                </c:pt>
                <c:pt idx="155">
                  <c:v>15.69</c:v>
                </c:pt>
                <c:pt idx="156">
                  <c:v>15.53</c:v>
                </c:pt>
                <c:pt idx="157">
                  <c:v>15.48</c:v>
                </c:pt>
                <c:pt idx="158">
                  <c:v>15.42</c:v>
                </c:pt>
                <c:pt idx="159">
                  <c:v>15.38</c:v>
                </c:pt>
                <c:pt idx="160">
                  <c:v>15.36</c:v>
                </c:pt>
                <c:pt idx="161">
                  <c:v>15.06</c:v>
                </c:pt>
                <c:pt idx="162">
                  <c:v>15.04</c:v>
                </c:pt>
                <c:pt idx="163">
                  <c:v>15.01</c:v>
                </c:pt>
                <c:pt idx="164">
                  <c:v>14.83</c:v>
                </c:pt>
                <c:pt idx="165">
                  <c:v>14.78</c:v>
                </c:pt>
                <c:pt idx="166">
                  <c:v>14.73</c:v>
                </c:pt>
                <c:pt idx="167">
                  <c:v>14.52</c:v>
                </c:pt>
                <c:pt idx="168">
                  <c:v>14.48</c:v>
                </c:pt>
                <c:pt idx="169">
                  <c:v>14.31</c:v>
                </c:pt>
                <c:pt idx="170">
                  <c:v>14.26</c:v>
                </c:pt>
                <c:pt idx="171">
                  <c:v>14.15</c:v>
                </c:pt>
                <c:pt idx="172">
                  <c:v>14.07</c:v>
                </c:pt>
                <c:pt idx="173">
                  <c:v>14</c:v>
                </c:pt>
                <c:pt idx="174">
                  <c:v>13.94</c:v>
                </c:pt>
                <c:pt idx="175">
                  <c:v>13.81</c:v>
                </c:pt>
                <c:pt idx="176">
                  <c:v>13.81</c:v>
                </c:pt>
                <c:pt idx="177">
                  <c:v>13.51</c:v>
                </c:pt>
                <c:pt idx="178">
                  <c:v>13.42</c:v>
                </c:pt>
                <c:pt idx="179">
                  <c:v>13.42</c:v>
                </c:pt>
                <c:pt idx="180">
                  <c:v>13.42</c:v>
                </c:pt>
                <c:pt idx="181">
                  <c:v>13.39</c:v>
                </c:pt>
                <c:pt idx="182">
                  <c:v>13.37</c:v>
                </c:pt>
                <c:pt idx="183">
                  <c:v>13.28</c:v>
                </c:pt>
                <c:pt idx="184">
                  <c:v>13.27</c:v>
                </c:pt>
                <c:pt idx="185">
                  <c:v>13.16</c:v>
                </c:pt>
                <c:pt idx="186">
                  <c:v>13.13</c:v>
                </c:pt>
                <c:pt idx="187">
                  <c:v>13.03</c:v>
                </c:pt>
                <c:pt idx="188">
                  <c:v>13</c:v>
                </c:pt>
                <c:pt idx="189">
                  <c:v>13</c:v>
                </c:pt>
                <c:pt idx="190">
                  <c:v>12.9</c:v>
                </c:pt>
                <c:pt idx="191">
                  <c:v>12.76</c:v>
                </c:pt>
                <c:pt idx="192">
                  <c:v>12.74</c:v>
                </c:pt>
                <c:pt idx="193">
                  <c:v>12.69</c:v>
                </c:pt>
                <c:pt idx="194">
                  <c:v>12.66</c:v>
                </c:pt>
                <c:pt idx="195">
                  <c:v>12.6</c:v>
                </c:pt>
                <c:pt idx="196">
                  <c:v>12.54</c:v>
                </c:pt>
                <c:pt idx="197">
                  <c:v>12.48</c:v>
                </c:pt>
                <c:pt idx="198">
                  <c:v>12.46</c:v>
                </c:pt>
                <c:pt idx="199">
                  <c:v>12.43</c:v>
                </c:pt>
                <c:pt idx="200">
                  <c:v>12.26</c:v>
                </c:pt>
                <c:pt idx="201">
                  <c:v>12.16</c:v>
                </c:pt>
                <c:pt idx="202">
                  <c:v>12.03</c:v>
                </c:pt>
                <c:pt idx="203">
                  <c:v>12.02</c:v>
                </c:pt>
                <c:pt idx="204">
                  <c:v>11.87</c:v>
                </c:pt>
                <c:pt idx="205">
                  <c:v>11.69</c:v>
                </c:pt>
                <c:pt idx="206">
                  <c:v>11.61</c:v>
                </c:pt>
                <c:pt idx="207">
                  <c:v>11.59</c:v>
                </c:pt>
                <c:pt idx="208">
                  <c:v>11.38</c:v>
                </c:pt>
                <c:pt idx="209">
                  <c:v>11.35</c:v>
                </c:pt>
                <c:pt idx="210">
                  <c:v>11.24</c:v>
                </c:pt>
                <c:pt idx="211">
                  <c:v>11.17</c:v>
                </c:pt>
                <c:pt idx="212">
                  <c:v>11.02</c:v>
                </c:pt>
                <c:pt idx="213">
                  <c:v>10.77</c:v>
                </c:pt>
                <c:pt idx="214">
                  <c:v>10.65</c:v>
                </c:pt>
                <c:pt idx="215">
                  <c:v>10.63</c:v>
                </c:pt>
                <c:pt idx="216">
                  <c:v>10.59</c:v>
                </c:pt>
                <c:pt idx="217">
                  <c:v>10.51</c:v>
                </c:pt>
                <c:pt idx="218">
                  <c:v>10.34</c:v>
                </c:pt>
                <c:pt idx="219">
                  <c:v>10.34</c:v>
                </c:pt>
                <c:pt idx="220">
                  <c:v>10.33</c:v>
                </c:pt>
                <c:pt idx="221">
                  <c:v>10.33</c:v>
                </c:pt>
                <c:pt idx="222">
                  <c:v>10.29</c:v>
                </c:pt>
                <c:pt idx="223">
                  <c:v>10.27</c:v>
                </c:pt>
                <c:pt idx="224">
                  <c:v>10.09</c:v>
                </c:pt>
                <c:pt idx="225">
                  <c:v>10.07</c:v>
                </c:pt>
                <c:pt idx="226">
                  <c:v>10.07</c:v>
                </c:pt>
                <c:pt idx="227">
                  <c:v>9.94</c:v>
                </c:pt>
                <c:pt idx="228">
                  <c:v>9.7799999999999994</c:v>
                </c:pt>
                <c:pt idx="229">
                  <c:v>9.68</c:v>
                </c:pt>
                <c:pt idx="230">
                  <c:v>9.6</c:v>
                </c:pt>
                <c:pt idx="231">
                  <c:v>9.5500000000000007</c:v>
                </c:pt>
                <c:pt idx="232">
                  <c:v>8.77</c:v>
                </c:pt>
                <c:pt idx="233">
                  <c:v>8.58</c:v>
                </c:pt>
                <c:pt idx="234">
                  <c:v>8.52</c:v>
                </c:pt>
                <c:pt idx="235">
                  <c:v>8.51</c:v>
                </c:pt>
                <c:pt idx="236">
                  <c:v>8.35</c:v>
                </c:pt>
                <c:pt idx="237">
                  <c:v>7.74</c:v>
                </c:pt>
                <c:pt idx="238">
                  <c:v>7.56</c:v>
                </c:pt>
                <c:pt idx="239">
                  <c:v>7.51</c:v>
                </c:pt>
                <c:pt idx="240">
                  <c:v>7.25</c:v>
                </c:pt>
                <c:pt idx="241">
                  <c:v>7.25</c:v>
                </c:pt>
                <c:pt idx="242">
                  <c:v>5.75</c:v>
                </c:pt>
                <c:pt idx="243">
                  <c:v>3.07</c:v>
                </c:pt>
              </c:numCache>
            </c:numRef>
          </c:xVal>
          <c:yVal>
            <c:numRef>
              <c:f>tips!$C$2:$C$245</c:f>
              <c:numCache>
                <c:formatCode>0%</c:formatCode>
                <c:ptCount val="244"/>
                <c:pt idx="0">
                  <c:v>0.19681165124975397</c:v>
                </c:pt>
                <c:pt idx="1">
                  <c:v>0.18621973929236499</c:v>
                </c:pt>
                <c:pt idx="2">
                  <c:v>0.13942407292314066</c:v>
                </c:pt>
                <c:pt idx="3">
                  <c:v>0.10379904504878555</c:v>
                </c:pt>
                <c:pt idx="4">
                  <c:v>7.7177508269018744E-2</c:v>
                </c:pt>
                <c:pt idx="5">
                  <c:v>5.6433408577878111E-2</c:v>
                </c:pt>
                <c:pt idx="6">
                  <c:v>0.11598237067965669</c:v>
                </c:pt>
                <c:pt idx="7">
                  <c:v>0.12138868657441128</c:v>
                </c:pt>
                <c:pt idx="8">
                  <c:v>7.3982737361282372E-2</c:v>
                </c:pt>
                <c:pt idx="9">
                  <c:v>0.1177495643515061</c:v>
                </c:pt>
                <c:pt idx="10">
                  <c:v>0.19228817858954844</c:v>
                </c:pt>
                <c:pt idx="11">
                  <c:v>7.7459333849728904E-2</c:v>
                </c:pt>
                <c:pt idx="12">
                  <c:v>0.10506960861570791</c:v>
                </c:pt>
                <c:pt idx="13">
                  <c:v>7.8926598263614839E-2</c:v>
                </c:pt>
                <c:pt idx="14">
                  <c:v>0.13033770583310075</c:v>
                </c:pt>
                <c:pt idx="15">
                  <c:v>0.14180374361883155</c:v>
                </c:pt>
                <c:pt idx="16">
                  <c:v>0.14843525696238874</c:v>
                </c:pt>
                <c:pt idx="17">
                  <c:v>0.14938236139040506</c:v>
                </c:pt>
                <c:pt idx="18">
                  <c:v>0.10620490620490622</c:v>
                </c:pt>
                <c:pt idx="19">
                  <c:v>0.102512272596015</c:v>
                </c:pt>
                <c:pt idx="20">
                  <c:v>0.19533527696793004</c:v>
                </c:pt>
                <c:pt idx="21">
                  <c:v>9.4528875379939203E-2</c:v>
                </c:pt>
                <c:pt idx="22">
                  <c:v>3.5638135851355467E-2</c:v>
                </c:pt>
                <c:pt idx="23">
                  <c:v>0.15299877600979192</c:v>
                </c:pt>
                <c:pt idx="24">
                  <c:v>0.1851851851851852</c:v>
                </c:pt>
                <c:pt idx="25">
                  <c:v>9.9843014128728411E-2</c:v>
                </c:pt>
                <c:pt idx="26">
                  <c:v>0.14191106906338694</c:v>
                </c:pt>
                <c:pt idx="27">
                  <c:v>0.1598976654940838</c:v>
                </c:pt>
                <c:pt idx="28">
                  <c:v>6.5659881812212731E-2</c:v>
                </c:pt>
                <c:pt idx="29">
                  <c:v>0.18421052631578946</c:v>
                </c:pt>
                <c:pt idx="30">
                  <c:v>0.10252156602521566</c:v>
                </c:pt>
                <c:pt idx="31">
                  <c:v>6.6533599467731214E-2</c:v>
                </c:pt>
                <c:pt idx="32">
                  <c:v>0.1693952555963916</c:v>
                </c:pt>
                <c:pt idx="33">
                  <c:v>0.17219430485762141</c:v>
                </c:pt>
                <c:pt idx="34">
                  <c:v>0.14093959731543623</c:v>
                </c:pt>
                <c:pt idx="35">
                  <c:v>0.20392697209782981</c:v>
                </c:pt>
                <c:pt idx="36">
                  <c:v>0.10355540214014498</c:v>
                </c:pt>
                <c:pt idx="37">
                  <c:v>7.1803852889667244E-2</c:v>
                </c:pt>
                <c:pt idx="38">
                  <c:v>9.0014064697609003E-2</c:v>
                </c:pt>
                <c:pt idx="39">
                  <c:v>0.23074192403265883</c:v>
                </c:pt>
                <c:pt idx="40">
                  <c:v>0.10657193605683837</c:v>
                </c:pt>
                <c:pt idx="41">
                  <c:v>0.14662756598240467</c:v>
                </c:pt>
                <c:pt idx="42">
                  <c:v>0.14705882352941177</c:v>
                </c:pt>
                <c:pt idx="43">
                  <c:v>7.358351729212656E-2</c:v>
                </c:pt>
                <c:pt idx="44">
                  <c:v>0.18484288354898337</c:v>
                </c:pt>
                <c:pt idx="45">
                  <c:v>0.11607142857142858</c:v>
                </c:pt>
                <c:pt idx="46">
                  <c:v>0.11690245718540582</c:v>
                </c:pt>
                <c:pt idx="47">
                  <c:v>0.1282437006393381</c:v>
                </c:pt>
                <c:pt idx="48">
                  <c:v>5.679666792881484E-2</c:v>
                </c:pt>
                <c:pt idx="49">
                  <c:v>0.19930475086906141</c:v>
                </c:pt>
                <c:pt idx="50">
                  <c:v>0.15558148580318942</c:v>
                </c:pt>
                <c:pt idx="51">
                  <c:v>0.16979655712050079</c:v>
                </c:pt>
                <c:pt idx="52">
                  <c:v>0.18623962040332148</c:v>
                </c:pt>
                <c:pt idx="53">
                  <c:v>0.19778481012658228</c:v>
                </c:pt>
                <c:pt idx="54">
                  <c:v>0.17017056723522411</c:v>
                </c:pt>
                <c:pt idx="55">
                  <c:v>0.15</c:v>
                </c:pt>
                <c:pt idx="56">
                  <c:v>0.23674625657628487</c:v>
                </c:pt>
                <c:pt idx="57">
                  <c:v>0.14680764538430255</c:v>
                </c:pt>
                <c:pt idx="58">
                  <c:v>8.1466395112016296E-2</c:v>
                </c:pt>
                <c:pt idx="59">
                  <c:v>0.14192495921696574</c:v>
                </c:pt>
                <c:pt idx="60">
                  <c:v>8.3642356819118246E-2</c:v>
                </c:pt>
                <c:pt idx="61">
                  <c:v>0.1212624584717608</c:v>
                </c:pt>
                <c:pt idx="62">
                  <c:v>0.14962593516209477</c:v>
                </c:pt>
                <c:pt idx="63">
                  <c:v>8.3298625572678045E-2</c:v>
                </c:pt>
                <c:pt idx="64">
                  <c:v>0.10647181628392484</c:v>
                </c:pt>
                <c:pt idx="65">
                  <c:v>0.1397804054054054</c:v>
                </c:pt>
                <c:pt idx="66">
                  <c:v>0.24217745392198889</c:v>
                </c:pt>
                <c:pt idx="67">
                  <c:v>0.28053517479499351</c:v>
                </c:pt>
                <c:pt idx="68">
                  <c:v>0.17316017316017315</c:v>
                </c:pt>
                <c:pt idx="69">
                  <c:v>9.5530236634531113E-2</c:v>
                </c:pt>
                <c:pt idx="70">
                  <c:v>0.13181019332161686</c:v>
                </c:pt>
                <c:pt idx="71">
                  <c:v>0.14285714285714285</c:v>
                </c:pt>
                <c:pt idx="72">
                  <c:v>8.8222320247022493E-2</c:v>
                </c:pt>
                <c:pt idx="73">
                  <c:v>0.15562472209871056</c:v>
                </c:pt>
                <c:pt idx="74">
                  <c:v>0.15521855486173058</c:v>
                </c:pt>
                <c:pt idx="75">
                  <c:v>0.22492127755285649</c:v>
                </c:pt>
                <c:pt idx="76">
                  <c:v>0.13019891500904157</c:v>
                </c:pt>
                <c:pt idx="77">
                  <c:v>0.19815668202764977</c:v>
                </c:pt>
                <c:pt idx="78">
                  <c:v>0.18164967562557924</c:v>
                </c:pt>
                <c:pt idx="79">
                  <c:v>0.16279069767441862</c:v>
                </c:pt>
                <c:pt idx="80">
                  <c:v>0.14177693761814744</c:v>
                </c:pt>
                <c:pt idx="81">
                  <c:v>0.16658733936220846</c:v>
                </c:pt>
                <c:pt idx="82">
                  <c:v>0.1427891480247501</c:v>
                </c:pt>
                <c:pt idx="83">
                  <c:v>0.19502868068833651</c:v>
                </c:pt>
                <c:pt idx="84">
                  <c:v>0.1674641148325359</c:v>
                </c:pt>
                <c:pt idx="85">
                  <c:v>0.10789980732177264</c:v>
                </c:pt>
                <c:pt idx="86">
                  <c:v>0.24166263895601739</c:v>
                </c:pt>
                <c:pt idx="87">
                  <c:v>0.11841469308844853</c:v>
                </c:pt>
                <c:pt idx="88">
                  <c:v>0.16222760290556903</c:v>
                </c:pt>
                <c:pt idx="89">
                  <c:v>0.19483682415976619</c:v>
                </c:pt>
                <c:pt idx="90">
                  <c:v>0.19814543679843827</c:v>
                </c:pt>
                <c:pt idx="91">
                  <c:v>0.14669926650366749</c:v>
                </c:pt>
                <c:pt idx="92">
                  <c:v>0.15820601281419419</c:v>
                </c:pt>
                <c:pt idx="93">
                  <c:v>0.13553474618038444</c:v>
                </c:pt>
                <c:pt idx="94">
                  <c:v>0.13961519486926494</c:v>
                </c:pt>
                <c:pt idx="95">
                  <c:v>9.9357390014829447E-2</c:v>
                </c:pt>
                <c:pt idx="96">
                  <c:v>0.15687250996015936</c:v>
                </c:pt>
                <c:pt idx="97">
                  <c:v>0.16044399596367306</c:v>
                </c:pt>
                <c:pt idx="98">
                  <c:v>0.21150933871781932</c:v>
                </c:pt>
                <c:pt idx="99">
                  <c:v>0.10116337885685382</c:v>
                </c:pt>
                <c:pt idx="100">
                  <c:v>0.15267175572519084</c:v>
                </c:pt>
                <c:pt idx="101">
                  <c:v>0.18009235505387378</c:v>
                </c:pt>
                <c:pt idx="102">
                  <c:v>0.15432098765432098</c:v>
                </c:pt>
                <c:pt idx="103">
                  <c:v>7.8616352201257872E-2</c:v>
                </c:pt>
                <c:pt idx="104">
                  <c:v>0.15974440894568689</c:v>
                </c:pt>
                <c:pt idx="105">
                  <c:v>0.2137894174238375</c:v>
                </c:pt>
                <c:pt idx="106">
                  <c:v>0.12359550561797752</c:v>
                </c:pt>
                <c:pt idx="107">
                  <c:v>7.2961373390557943E-2</c:v>
                </c:pt>
                <c:pt idx="108">
                  <c:v>0.16277807921866522</c:v>
                </c:pt>
                <c:pt idx="109">
                  <c:v>0.13623978201634876</c:v>
                </c:pt>
                <c:pt idx="110">
                  <c:v>0.20557681793329688</c:v>
                </c:pt>
                <c:pt idx="111">
                  <c:v>0.16402405686167304</c:v>
                </c:pt>
                <c:pt idx="112">
                  <c:v>0.21881838074398249</c:v>
                </c:pt>
                <c:pt idx="113">
                  <c:v>0.17798466593647316</c:v>
                </c:pt>
                <c:pt idx="114">
                  <c:v>0.20614035087719298</c:v>
                </c:pt>
                <c:pt idx="115">
                  <c:v>0.1928374655647383</c:v>
                </c:pt>
                <c:pt idx="116">
                  <c:v>0.16629711751662973</c:v>
                </c:pt>
                <c:pt idx="117">
                  <c:v>0.22767857142857142</c:v>
                </c:pt>
                <c:pt idx="118">
                  <c:v>0.171875</c:v>
                </c:pt>
                <c:pt idx="119">
                  <c:v>0.11179429849077696</c:v>
                </c:pt>
                <c:pt idx="120">
                  <c:v>9.8204264870931535E-2</c:v>
                </c:pt>
                <c:pt idx="121">
                  <c:v>0.13138686131386862</c:v>
                </c:pt>
                <c:pt idx="122">
                  <c:v>0.18391451068616421</c:v>
                </c:pt>
                <c:pt idx="123">
                  <c:v>0.15008527572484368</c:v>
                </c:pt>
                <c:pt idx="124">
                  <c:v>0.17133066818960593</c:v>
                </c:pt>
                <c:pt idx="125">
                  <c:v>0.20034344590726963</c:v>
                </c:pt>
                <c:pt idx="126">
                  <c:v>0.14547537227949597</c:v>
                </c:pt>
                <c:pt idx="127">
                  <c:v>0.20219526285384173</c:v>
                </c:pt>
                <c:pt idx="128">
                  <c:v>0.15673799884326201</c:v>
                </c:pt>
                <c:pt idx="129">
                  <c:v>0.15874855156431053</c:v>
                </c:pt>
                <c:pt idx="130">
                  <c:v>0.1757469244288225</c:v>
                </c:pt>
                <c:pt idx="131">
                  <c:v>5.9446733372572107E-2</c:v>
                </c:pt>
                <c:pt idx="132">
                  <c:v>0.20624631703005306</c:v>
                </c:pt>
                <c:pt idx="133">
                  <c:v>0.1813349084465446</c:v>
                </c:pt>
                <c:pt idx="134">
                  <c:v>0.23781212841854935</c:v>
                </c:pt>
                <c:pt idx="135">
                  <c:v>0.20408163265306123</c:v>
                </c:pt>
                <c:pt idx="136">
                  <c:v>0.24125452352231608</c:v>
                </c:pt>
                <c:pt idx="137">
                  <c:v>0.12128562765312312</c:v>
                </c:pt>
                <c:pt idx="138">
                  <c:v>0.19611414693381907</c:v>
                </c:pt>
                <c:pt idx="139">
                  <c:v>0.1501519756838906</c:v>
                </c:pt>
                <c:pt idx="140">
                  <c:v>0.13998782714546559</c:v>
                </c:pt>
                <c:pt idx="141">
                  <c:v>0.15243902439024393</c:v>
                </c:pt>
                <c:pt idx="142">
                  <c:v>0.26348039215686275</c:v>
                </c:pt>
                <c:pt idx="143">
                  <c:v>0.12262415695892091</c:v>
                </c:pt>
                <c:pt idx="144">
                  <c:v>0.22774708410067526</c:v>
                </c:pt>
                <c:pt idx="145">
                  <c:v>0.15365703749231716</c:v>
                </c:pt>
                <c:pt idx="146">
                  <c:v>0.12338062924120913</c:v>
                </c:pt>
                <c:pt idx="147">
                  <c:v>0.13965087281795513</c:v>
                </c:pt>
                <c:pt idx="148">
                  <c:v>0.125</c:v>
                </c:pt>
                <c:pt idx="149">
                  <c:v>0.18773466833541927</c:v>
                </c:pt>
                <c:pt idx="150">
                  <c:v>0.12703379224030037</c:v>
                </c:pt>
                <c:pt idx="151">
                  <c:v>0.12539184952978058</c:v>
                </c:pt>
                <c:pt idx="152">
                  <c:v>0.19987349778621127</c:v>
                </c:pt>
                <c:pt idx="153">
                  <c:v>0.14140773620798985</c:v>
                </c:pt>
                <c:pt idx="154">
                  <c:v>0.19120458891013384</c:v>
                </c:pt>
                <c:pt idx="155">
                  <c:v>9.5602294455066919E-2</c:v>
                </c:pt>
                <c:pt idx="156">
                  <c:v>0.19317450096587252</c:v>
                </c:pt>
                <c:pt idx="157">
                  <c:v>0.13049095607235142</c:v>
                </c:pt>
                <c:pt idx="158">
                  <c:v>0.10181582360570687</c:v>
                </c:pt>
                <c:pt idx="159">
                  <c:v>0.19505851755526657</c:v>
                </c:pt>
                <c:pt idx="160">
                  <c:v>0.10677083333333333</c:v>
                </c:pt>
                <c:pt idx="161">
                  <c:v>0.19920318725099601</c:v>
                </c:pt>
                <c:pt idx="162">
                  <c:v>0.13031914893617022</c:v>
                </c:pt>
                <c:pt idx="163">
                  <c:v>0.13924050632911392</c:v>
                </c:pt>
                <c:pt idx="164">
                  <c:v>0.20364126770060686</c:v>
                </c:pt>
                <c:pt idx="165">
                  <c:v>0.21853856562922869</c:v>
                </c:pt>
                <c:pt idx="166">
                  <c:v>0.14935505770536323</c:v>
                </c:pt>
                <c:pt idx="167">
                  <c:v>0.13774104683195593</c:v>
                </c:pt>
                <c:pt idx="168">
                  <c:v>0.13812154696132597</c:v>
                </c:pt>
                <c:pt idx="169">
                  <c:v>0.27952480782669459</c:v>
                </c:pt>
                <c:pt idx="170">
                  <c:v>0.17531556802244039</c:v>
                </c:pt>
                <c:pt idx="171">
                  <c:v>0.14134275618374559</c:v>
                </c:pt>
                <c:pt idx="172">
                  <c:v>0.17768301350390903</c:v>
                </c:pt>
                <c:pt idx="173">
                  <c:v>0.21428571428571427</c:v>
                </c:pt>
                <c:pt idx="174">
                  <c:v>0.21951219512195122</c:v>
                </c:pt>
                <c:pt idx="175">
                  <c:v>0.14482259232440259</c:v>
                </c:pt>
                <c:pt idx="176">
                  <c:v>0.14482259232440259</c:v>
                </c:pt>
                <c:pt idx="177">
                  <c:v>0.14803849000740193</c:v>
                </c:pt>
                <c:pt idx="178">
                  <c:v>0.25931445603576753</c:v>
                </c:pt>
                <c:pt idx="179">
                  <c:v>0.12518628912071533</c:v>
                </c:pt>
                <c:pt idx="180">
                  <c:v>0.11773472429210134</c:v>
                </c:pt>
                <c:pt idx="181">
                  <c:v>0.19492158327109782</c:v>
                </c:pt>
                <c:pt idx="182">
                  <c:v>0.14958863126402394</c:v>
                </c:pt>
                <c:pt idx="183">
                  <c:v>0.20481927710843376</c:v>
                </c:pt>
                <c:pt idx="184">
                  <c:v>0.18839487565938207</c:v>
                </c:pt>
                <c:pt idx="185">
                  <c:v>0.20896656534954408</c:v>
                </c:pt>
                <c:pt idx="186">
                  <c:v>0.15232292460015232</c:v>
                </c:pt>
                <c:pt idx="187">
                  <c:v>0.15349194167306218</c:v>
                </c:pt>
                <c:pt idx="188">
                  <c:v>0.15384615384615385</c:v>
                </c:pt>
                <c:pt idx="189">
                  <c:v>0.15384615384615385</c:v>
                </c:pt>
                <c:pt idx="190">
                  <c:v>8.5271317829457363E-2</c:v>
                </c:pt>
                <c:pt idx="191">
                  <c:v>0.17476489028213166</c:v>
                </c:pt>
                <c:pt idx="192">
                  <c:v>0.15777080062794346</c:v>
                </c:pt>
                <c:pt idx="193">
                  <c:v>0.15760441292356187</c:v>
                </c:pt>
                <c:pt idx="194">
                  <c:v>0.19747235387045814</c:v>
                </c:pt>
                <c:pt idx="195">
                  <c:v>7.9365079365079361E-2</c:v>
                </c:pt>
                <c:pt idx="196">
                  <c:v>0.19936204146730463</c:v>
                </c:pt>
                <c:pt idx="197">
                  <c:v>0.20192307692307693</c:v>
                </c:pt>
                <c:pt idx="198">
                  <c:v>0.1203852327447833</c:v>
                </c:pt>
                <c:pt idx="199">
                  <c:v>0.14481094127111827</c:v>
                </c:pt>
                <c:pt idx="200">
                  <c:v>0.16313213703099511</c:v>
                </c:pt>
                <c:pt idx="201">
                  <c:v>0.18092105263157895</c:v>
                </c:pt>
                <c:pt idx="202">
                  <c:v>0.12468827930174564</c:v>
                </c:pt>
                <c:pt idx="203">
                  <c:v>0.16389351081530781</c:v>
                </c:pt>
                <c:pt idx="204">
                  <c:v>0.13732097725358045</c:v>
                </c:pt>
                <c:pt idx="205">
                  <c:v>0.19760479041916168</c:v>
                </c:pt>
                <c:pt idx="206">
                  <c:v>0.29198966408268734</c:v>
                </c:pt>
                <c:pt idx="207">
                  <c:v>0.12942191544434858</c:v>
                </c:pt>
                <c:pt idx="208">
                  <c:v>0.17574692442882248</c:v>
                </c:pt>
                <c:pt idx="209">
                  <c:v>0.22026431718061676</c:v>
                </c:pt>
                <c:pt idx="210">
                  <c:v>0.15658362989323843</c:v>
                </c:pt>
                <c:pt idx="211">
                  <c:v>0.13428827215756492</c:v>
                </c:pt>
                <c:pt idx="212">
                  <c:v>0.17967332123411978</c:v>
                </c:pt>
                <c:pt idx="213">
                  <c:v>0.13649025069637882</c:v>
                </c:pt>
                <c:pt idx="214">
                  <c:v>0.14084507042253522</c:v>
                </c:pt>
                <c:pt idx="215">
                  <c:v>0.18814675446848542</c:v>
                </c:pt>
                <c:pt idx="216">
                  <c:v>0.15203021718602455</c:v>
                </c:pt>
                <c:pt idx="217">
                  <c:v>0.11893434823977164</c:v>
                </c:pt>
                <c:pt idx="218">
                  <c:v>0.19342359767891684</c:v>
                </c:pt>
                <c:pt idx="219">
                  <c:v>0.16054158607350097</c:v>
                </c:pt>
                <c:pt idx="220">
                  <c:v>0.1936108422071636</c:v>
                </c:pt>
                <c:pt idx="221">
                  <c:v>0.16166505324298161</c:v>
                </c:pt>
                <c:pt idx="222">
                  <c:v>0.25267249757045679</c:v>
                </c:pt>
                <c:pt idx="223">
                  <c:v>0.1665043816942551</c:v>
                </c:pt>
                <c:pt idx="224">
                  <c:v>0.19821605550049554</c:v>
                </c:pt>
                <c:pt idx="225">
                  <c:v>0.18172790466732869</c:v>
                </c:pt>
                <c:pt idx="226">
                  <c:v>0.12413108242303872</c:v>
                </c:pt>
                <c:pt idx="227">
                  <c:v>0.15694164989939638</c:v>
                </c:pt>
                <c:pt idx="228">
                  <c:v>0.17689161554192229</c:v>
                </c:pt>
                <c:pt idx="229">
                  <c:v>0.13636363636363638</c:v>
                </c:pt>
                <c:pt idx="230">
                  <c:v>0.41666666666666669</c:v>
                </c:pt>
                <c:pt idx="231">
                  <c:v>0.15183246073298429</c:v>
                </c:pt>
                <c:pt idx="232">
                  <c:v>0.22805017103762829</c:v>
                </c:pt>
                <c:pt idx="233">
                  <c:v>0.22377622377622378</c:v>
                </c:pt>
                <c:pt idx="234">
                  <c:v>0.17370892018779344</c:v>
                </c:pt>
                <c:pt idx="235">
                  <c:v>0.14688601645123384</c:v>
                </c:pt>
                <c:pt idx="236">
                  <c:v>0.17964071856287425</c:v>
                </c:pt>
                <c:pt idx="237">
                  <c:v>0.18604651162790697</c:v>
                </c:pt>
                <c:pt idx="238">
                  <c:v>0.19047619047619047</c:v>
                </c:pt>
                <c:pt idx="239">
                  <c:v>0.26631158455392812</c:v>
                </c:pt>
                <c:pt idx="240">
                  <c:v>0.71034482758620698</c:v>
                </c:pt>
                <c:pt idx="241">
                  <c:v>0.13793103448275862</c:v>
                </c:pt>
                <c:pt idx="242">
                  <c:v>0.17391304347826086</c:v>
                </c:pt>
                <c:pt idx="243">
                  <c:v>0.32573289902280134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8-4873-BAD2-EA756E42D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716624"/>
        <c:axId val="1160718544"/>
      </c:scatterChart>
      <c:valAx>
        <c:axId val="116071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Cuenta</a:t>
                </a:r>
                <a:r>
                  <a:rPr lang="es-MX" baseline="0"/>
                  <a:t> Total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0718544"/>
        <c:crosses val="autoZero"/>
        <c:crossBetween val="midCat"/>
      </c:valAx>
      <c:valAx>
        <c:axId val="11607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</a:t>
                </a:r>
                <a:r>
                  <a:rPr lang="es-MX" baseline="0"/>
                  <a:t> de P</a:t>
                </a:r>
                <a:r>
                  <a:rPr lang="es-MX"/>
                  <a:t>ropina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66647346165062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071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Relación</a:t>
            </a:r>
            <a:r>
              <a:rPr lang="en-US" baseline="0"/>
              <a:t> Tamaño de Mesa vs Porcentaje de Propina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tips!$H$1</c:f>
              <c:strCache>
                <c:ptCount val="1"/>
                <c:pt idx="0">
                  <c:v>table_size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tips!$C$2:$C$245</c:f>
              <c:numCache>
                <c:formatCode>0%</c:formatCode>
                <c:ptCount val="244"/>
                <c:pt idx="0">
                  <c:v>0.19681165124975397</c:v>
                </c:pt>
                <c:pt idx="1">
                  <c:v>0.18621973929236499</c:v>
                </c:pt>
                <c:pt idx="2">
                  <c:v>0.13942407292314066</c:v>
                </c:pt>
                <c:pt idx="3">
                  <c:v>0.10379904504878555</c:v>
                </c:pt>
                <c:pt idx="4">
                  <c:v>7.7177508269018744E-2</c:v>
                </c:pt>
                <c:pt idx="5">
                  <c:v>5.6433408577878111E-2</c:v>
                </c:pt>
                <c:pt idx="6">
                  <c:v>0.11598237067965669</c:v>
                </c:pt>
                <c:pt idx="7">
                  <c:v>0.12138868657441128</c:v>
                </c:pt>
                <c:pt idx="8">
                  <c:v>7.3982737361282372E-2</c:v>
                </c:pt>
                <c:pt idx="9">
                  <c:v>0.1177495643515061</c:v>
                </c:pt>
                <c:pt idx="10">
                  <c:v>0.19228817858954844</c:v>
                </c:pt>
                <c:pt idx="11">
                  <c:v>7.7459333849728904E-2</c:v>
                </c:pt>
                <c:pt idx="12">
                  <c:v>0.10506960861570791</c:v>
                </c:pt>
                <c:pt idx="13">
                  <c:v>7.8926598263614839E-2</c:v>
                </c:pt>
                <c:pt idx="14">
                  <c:v>0.13033770583310075</c:v>
                </c:pt>
                <c:pt idx="15">
                  <c:v>0.14180374361883155</c:v>
                </c:pt>
                <c:pt idx="16">
                  <c:v>0.14843525696238874</c:v>
                </c:pt>
                <c:pt idx="17">
                  <c:v>0.14938236139040506</c:v>
                </c:pt>
                <c:pt idx="18">
                  <c:v>0.10620490620490622</c:v>
                </c:pt>
                <c:pt idx="19">
                  <c:v>0.102512272596015</c:v>
                </c:pt>
                <c:pt idx="20">
                  <c:v>0.19533527696793004</c:v>
                </c:pt>
                <c:pt idx="21">
                  <c:v>9.4528875379939203E-2</c:v>
                </c:pt>
                <c:pt idx="22">
                  <c:v>3.5638135851355467E-2</c:v>
                </c:pt>
                <c:pt idx="23">
                  <c:v>0.15299877600979192</c:v>
                </c:pt>
                <c:pt idx="24">
                  <c:v>0.1851851851851852</c:v>
                </c:pt>
                <c:pt idx="25">
                  <c:v>9.9843014128728411E-2</c:v>
                </c:pt>
                <c:pt idx="26">
                  <c:v>0.14191106906338694</c:v>
                </c:pt>
                <c:pt idx="27">
                  <c:v>0.1598976654940838</c:v>
                </c:pt>
                <c:pt idx="28">
                  <c:v>6.5659881812212731E-2</c:v>
                </c:pt>
                <c:pt idx="29">
                  <c:v>0.18421052631578946</c:v>
                </c:pt>
                <c:pt idx="30">
                  <c:v>0.10252156602521566</c:v>
                </c:pt>
                <c:pt idx="31">
                  <c:v>6.6533599467731214E-2</c:v>
                </c:pt>
                <c:pt idx="32">
                  <c:v>0.1693952555963916</c:v>
                </c:pt>
                <c:pt idx="33">
                  <c:v>0.17219430485762141</c:v>
                </c:pt>
                <c:pt idx="34">
                  <c:v>0.14093959731543623</c:v>
                </c:pt>
                <c:pt idx="35">
                  <c:v>0.20392697209782981</c:v>
                </c:pt>
                <c:pt idx="36">
                  <c:v>0.10355540214014498</c:v>
                </c:pt>
                <c:pt idx="37">
                  <c:v>7.1803852889667244E-2</c:v>
                </c:pt>
                <c:pt idx="38">
                  <c:v>9.0014064697609003E-2</c:v>
                </c:pt>
                <c:pt idx="39">
                  <c:v>0.23074192403265883</c:v>
                </c:pt>
                <c:pt idx="40">
                  <c:v>0.10657193605683837</c:v>
                </c:pt>
                <c:pt idx="41">
                  <c:v>0.14662756598240467</c:v>
                </c:pt>
                <c:pt idx="42">
                  <c:v>0.14705882352941177</c:v>
                </c:pt>
                <c:pt idx="43">
                  <c:v>7.358351729212656E-2</c:v>
                </c:pt>
                <c:pt idx="44">
                  <c:v>0.18484288354898337</c:v>
                </c:pt>
                <c:pt idx="45">
                  <c:v>0.11607142857142858</c:v>
                </c:pt>
                <c:pt idx="46">
                  <c:v>0.11690245718540582</c:v>
                </c:pt>
                <c:pt idx="47">
                  <c:v>0.1282437006393381</c:v>
                </c:pt>
                <c:pt idx="48">
                  <c:v>5.679666792881484E-2</c:v>
                </c:pt>
                <c:pt idx="49">
                  <c:v>0.19930475086906141</c:v>
                </c:pt>
                <c:pt idx="50">
                  <c:v>0.15558148580318942</c:v>
                </c:pt>
                <c:pt idx="51">
                  <c:v>0.16979655712050079</c:v>
                </c:pt>
                <c:pt idx="52">
                  <c:v>0.18623962040332148</c:v>
                </c:pt>
                <c:pt idx="53">
                  <c:v>0.19778481012658228</c:v>
                </c:pt>
                <c:pt idx="54">
                  <c:v>0.17017056723522411</c:v>
                </c:pt>
                <c:pt idx="55">
                  <c:v>0.15</c:v>
                </c:pt>
                <c:pt idx="56">
                  <c:v>0.23674625657628487</c:v>
                </c:pt>
                <c:pt idx="57">
                  <c:v>0.14680764538430255</c:v>
                </c:pt>
                <c:pt idx="58">
                  <c:v>8.1466395112016296E-2</c:v>
                </c:pt>
                <c:pt idx="59">
                  <c:v>0.14192495921696574</c:v>
                </c:pt>
                <c:pt idx="60">
                  <c:v>8.3642356819118246E-2</c:v>
                </c:pt>
                <c:pt idx="61">
                  <c:v>0.1212624584717608</c:v>
                </c:pt>
                <c:pt idx="62">
                  <c:v>0.14962593516209477</c:v>
                </c:pt>
                <c:pt idx="63">
                  <c:v>8.3298625572678045E-2</c:v>
                </c:pt>
                <c:pt idx="64">
                  <c:v>0.10647181628392484</c:v>
                </c:pt>
                <c:pt idx="65">
                  <c:v>0.1397804054054054</c:v>
                </c:pt>
                <c:pt idx="66">
                  <c:v>0.24217745392198889</c:v>
                </c:pt>
                <c:pt idx="67">
                  <c:v>0.28053517479499351</c:v>
                </c:pt>
                <c:pt idx="68">
                  <c:v>0.17316017316017315</c:v>
                </c:pt>
                <c:pt idx="69">
                  <c:v>9.5530236634531113E-2</c:v>
                </c:pt>
                <c:pt idx="70">
                  <c:v>0.13181019332161686</c:v>
                </c:pt>
                <c:pt idx="71">
                  <c:v>0.14285714285714285</c:v>
                </c:pt>
                <c:pt idx="72">
                  <c:v>8.8222320247022493E-2</c:v>
                </c:pt>
                <c:pt idx="73">
                  <c:v>0.15562472209871056</c:v>
                </c:pt>
                <c:pt idx="74">
                  <c:v>0.15521855486173058</c:v>
                </c:pt>
                <c:pt idx="75">
                  <c:v>0.22492127755285649</c:v>
                </c:pt>
                <c:pt idx="76">
                  <c:v>0.13019891500904157</c:v>
                </c:pt>
                <c:pt idx="77">
                  <c:v>0.19815668202764977</c:v>
                </c:pt>
                <c:pt idx="78">
                  <c:v>0.18164967562557924</c:v>
                </c:pt>
                <c:pt idx="79">
                  <c:v>0.16279069767441862</c:v>
                </c:pt>
                <c:pt idx="80">
                  <c:v>0.14177693761814744</c:v>
                </c:pt>
                <c:pt idx="81">
                  <c:v>0.16658733936220846</c:v>
                </c:pt>
                <c:pt idx="82">
                  <c:v>0.1427891480247501</c:v>
                </c:pt>
                <c:pt idx="83">
                  <c:v>0.19502868068833651</c:v>
                </c:pt>
                <c:pt idx="84">
                  <c:v>0.1674641148325359</c:v>
                </c:pt>
                <c:pt idx="85">
                  <c:v>0.10789980732177264</c:v>
                </c:pt>
                <c:pt idx="86">
                  <c:v>0.24166263895601739</c:v>
                </c:pt>
                <c:pt idx="87">
                  <c:v>0.11841469308844853</c:v>
                </c:pt>
                <c:pt idx="88">
                  <c:v>0.16222760290556903</c:v>
                </c:pt>
                <c:pt idx="89">
                  <c:v>0.19483682415976619</c:v>
                </c:pt>
                <c:pt idx="90">
                  <c:v>0.19814543679843827</c:v>
                </c:pt>
                <c:pt idx="91">
                  <c:v>0.14669926650366749</c:v>
                </c:pt>
                <c:pt idx="92">
                  <c:v>0.15820601281419419</c:v>
                </c:pt>
                <c:pt idx="93">
                  <c:v>0.13553474618038444</c:v>
                </c:pt>
                <c:pt idx="94">
                  <c:v>0.13961519486926494</c:v>
                </c:pt>
                <c:pt idx="95">
                  <c:v>9.9357390014829447E-2</c:v>
                </c:pt>
                <c:pt idx="96">
                  <c:v>0.15687250996015936</c:v>
                </c:pt>
                <c:pt idx="97">
                  <c:v>0.16044399596367306</c:v>
                </c:pt>
                <c:pt idx="98">
                  <c:v>0.21150933871781932</c:v>
                </c:pt>
                <c:pt idx="99">
                  <c:v>0.10116337885685382</c:v>
                </c:pt>
                <c:pt idx="100">
                  <c:v>0.15267175572519084</c:v>
                </c:pt>
                <c:pt idx="101">
                  <c:v>0.18009235505387378</c:v>
                </c:pt>
                <c:pt idx="102">
                  <c:v>0.15432098765432098</c:v>
                </c:pt>
                <c:pt idx="103">
                  <c:v>7.8616352201257872E-2</c:v>
                </c:pt>
                <c:pt idx="104">
                  <c:v>0.15974440894568689</c:v>
                </c:pt>
                <c:pt idx="105">
                  <c:v>0.2137894174238375</c:v>
                </c:pt>
                <c:pt idx="106">
                  <c:v>0.12359550561797752</c:v>
                </c:pt>
                <c:pt idx="107">
                  <c:v>7.2961373390557943E-2</c:v>
                </c:pt>
                <c:pt idx="108">
                  <c:v>0.16277807921866522</c:v>
                </c:pt>
                <c:pt idx="109">
                  <c:v>0.13623978201634876</c:v>
                </c:pt>
                <c:pt idx="110">
                  <c:v>0.20557681793329688</c:v>
                </c:pt>
                <c:pt idx="111">
                  <c:v>0.16402405686167304</c:v>
                </c:pt>
                <c:pt idx="112">
                  <c:v>0.21881838074398249</c:v>
                </c:pt>
                <c:pt idx="113">
                  <c:v>0.17798466593647316</c:v>
                </c:pt>
                <c:pt idx="114">
                  <c:v>0.20614035087719298</c:v>
                </c:pt>
                <c:pt idx="115">
                  <c:v>0.1928374655647383</c:v>
                </c:pt>
                <c:pt idx="116">
                  <c:v>0.16629711751662973</c:v>
                </c:pt>
                <c:pt idx="117">
                  <c:v>0.22767857142857142</c:v>
                </c:pt>
                <c:pt idx="118">
                  <c:v>0.171875</c:v>
                </c:pt>
                <c:pt idx="119">
                  <c:v>0.11179429849077696</c:v>
                </c:pt>
                <c:pt idx="120">
                  <c:v>9.8204264870931535E-2</c:v>
                </c:pt>
                <c:pt idx="121">
                  <c:v>0.13138686131386862</c:v>
                </c:pt>
                <c:pt idx="122">
                  <c:v>0.18391451068616421</c:v>
                </c:pt>
                <c:pt idx="123">
                  <c:v>0.15008527572484368</c:v>
                </c:pt>
                <c:pt idx="124">
                  <c:v>0.17133066818960593</c:v>
                </c:pt>
                <c:pt idx="125">
                  <c:v>0.20034344590726963</c:v>
                </c:pt>
                <c:pt idx="126">
                  <c:v>0.14547537227949597</c:v>
                </c:pt>
                <c:pt idx="127">
                  <c:v>0.20219526285384173</c:v>
                </c:pt>
                <c:pt idx="128">
                  <c:v>0.15673799884326201</c:v>
                </c:pt>
                <c:pt idx="129">
                  <c:v>0.15874855156431053</c:v>
                </c:pt>
                <c:pt idx="130">
                  <c:v>0.1757469244288225</c:v>
                </c:pt>
                <c:pt idx="131">
                  <c:v>5.9446733372572107E-2</c:v>
                </c:pt>
                <c:pt idx="132">
                  <c:v>0.20624631703005306</c:v>
                </c:pt>
                <c:pt idx="133">
                  <c:v>0.1813349084465446</c:v>
                </c:pt>
                <c:pt idx="134">
                  <c:v>0.23781212841854935</c:v>
                </c:pt>
                <c:pt idx="135">
                  <c:v>0.20408163265306123</c:v>
                </c:pt>
                <c:pt idx="136">
                  <c:v>0.24125452352231608</c:v>
                </c:pt>
                <c:pt idx="137">
                  <c:v>0.12128562765312312</c:v>
                </c:pt>
                <c:pt idx="138">
                  <c:v>0.19611414693381907</c:v>
                </c:pt>
                <c:pt idx="139">
                  <c:v>0.1501519756838906</c:v>
                </c:pt>
                <c:pt idx="140">
                  <c:v>0.13998782714546559</c:v>
                </c:pt>
                <c:pt idx="141">
                  <c:v>0.15243902439024393</c:v>
                </c:pt>
                <c:pt idx="142">
                  <c:v>0.26348039215686275</c:v>
                </c:pt>
                <c:pt idx="143">
                  <c:v>0.12262415695892091</c:v>
                </c:pt>
                <c:pt idx="144">
                  <c:v>0.22774708410067526</c:v>
                </c:pt>
                <c:pt idx="145">
                  <c:v>0.15365703749231716</c:v>
                </c:pt>
                <c:pt idx="146">
                  <c:v>0.12338062924120913</c:v>
                </c:pt>
                <c:pt idx="147">
                  <c:v>0.13965087281795513</c:v>
                </c:pt>
                <c:pt idx="148">
                  <c:v>0.125</c:v>
                </c:pt>
                <c:pt idx="149">
                  <c:v>0.18773466833541927</c:v>
                </c:pt>
                <c:pt idx="150">
                  <c:v>0.12703379224030037</c:v>
                </c:pt>
                <c:pt idx="151">
                  <c:v>0.12539184952978058</c:v>
                </c:pt>
                <c:pt idx="152">
                  <c:v>0.19987349778621127</c:v>
                </c:pt>
                <c:pt idx="153">
                  <c:v>0.14140773620798985</c:v>
                </c:pt>
                <c:pt idx="154">
                  <c:v>0.19120458891013384</c:v>
                </c:pt>
                <c:pt idx="155">
                  <c:v>9.5602294455066919E-2</c:v>
                </c:pt>
                <c:pt idx="156">
                  <c:v>0.19317450096587252</c:v>
                </c:pt>
                <c:pt idx="157">
                  <c:v>0.13049095607235142</c:v>
                </c:pt>
                <c:pt idx="158">
                  <c:v>0.10181582360570687</c:v>
                </c:pt>
                <c:pt idx="159">
                  <c:v>0.19505851755526657</c:v>
                </c:pt>
                <c:pt idx="160">
                  <c:v>0.10677083333333333</c:v>
                </c:pt>
                <c:pt idx="161">
                  <c:v>0.19920318725099601</c:v>
                </c:pt>
                <c:pt idx="162">
                  <c:v>0.13031914893617022</c:v>
                </c:pt>
                <c:pt idx="163">
                  <c:v>0.13924050632911392</c:v>
                </c:pt>
                <c:pt idx="164">
                  <c:v>0.20364126770060686</c:v>
                </c:pt>
                <c:pt idx="165">
                  <c:v>0.21853856562922869</c:v>
                </c:pt>
                <c:pt idx="166">
                  <c:v>0.14935505770536323</c:v>
                </c:pt>
                <c:pt idx="167">
                  <c:v>0.13774104683195593</c:v>
                </c:pt>
                <c:pt idx="168">
                  <c:v>0.13812154696132597</c:v>
                </c:pt>
                <c:pt idx="169">
                  <c:v>0.27952480782669459</c:v>
                </c:pt>
                <c:pt idx="170">
                  <c:v>0.17531556802244039</c:v>
                </c:pt>
                <c:pt idx="171">
                  <c:v>0.14134275618374559</c:v>
                </c:pt>
                <c:pt idx="172">
                  <c:v>0.17768301350390903</c:v>
                </c:pt>
                <c:pt idx="173">
                  <c:v>0.21428571428571427</c:v>
                </c:pt>
                <c:pt idx="174">
                  <c:v>0.21951219512195122</c:v>
                </c:pt>
                <c:pt idx="175">
                  <c:v>0.14482259232440259</c:v>
                </c:pt>
                <c:pt idx="176">
                  <c:v>0.14482259232440259</c:v>
                </c:pt>
                <c:pt idx="177">
                  <c:v>0.14803849000740193</c:v>
                </c:pt>
                <c:pt idx="178">
                  <c:v>0.25931445603576753</c:v>
                </c:pt>
                <c:pt idx="179">
                  <c:v>0.12518628912071533</c:v>
                </c:pt>
                <c:pt idx="180">
                  <c:v>0.11773472429210134</c:v>
                </c:pt>
                <c:pt idx="181">
                  <c:v>0.19492158327109782</c:v>
                </c:pt>
                <c:pt idx="182">
                  <c:v>0.14958863126402394</c:v>
                </c:pt>
                <c:pt idx="183">
                  <c:v>0.20481927710843376</c:v>
                </c:pt>
                <c:pt idx="184">
                  <c:v>0.18839487565938207</c:v>
                </c:pt>
                <c:pt idx="185">
                  <c:v>0.20896656534954408</c:v>
                </c:pt>
                <c:pt idx="186">
                  <c:v>0.15232292460015232</c:v>
                </c:pt>
                <c:pt idx="187">
                  <c:v>0.15349194167306218</c:v>
                </c:pt>
                <c:pt idx="188">
                  <c:v>0.15384615384615385</c:v>
                </c:pt>
                <c:pt idx="189">
                  <c:v>0.15384615384615385</c:v>
                </c:pt>
                <c:pt idx="190">
                  <c:v>8.5271317829457363E-2</c:v>
                </c:pt>
                <c:pt idx="191">
                  <c:v>0.17476489028213166</c:v>
                </c:pt>
                <c:pt idx="192">
                  <c:v>0.15777080062794346</c:v>
                </c:pt>
                <c:pt idx="193">
                  <c:v>0.15760441292356187</c:v>
                </c:pt>
                <c:pt idx="194">
                  <c:v>0.19747235387045814</c:v>
                </c:pt>
                <c:pt idx="195">
                  <c:v>7.9365079365079361E-2</c:v>
                </c:pt>
                <c:pt idx="196">
                  <c:v>0.19936204146730463</c:v>
                </c:pt>
                <c:pt idx="197">
                  <c:v>0.20192307692307693</c:v>
                </c:pt>
                <c:pt idx="198">
                  <c:v>0.1203852327447833</c:v>
                </c:pt>
                <c:pt idx="199">
                  <c:v>0.14481094127111827</c:v>
                </c:pt>
                <c:pt idx="200">
                  <c:v>0.16313213703099511</c:v>
                </c:pt>
                <c:pt idx="201">
                  <c:v>0.18092105263157895</c:v>
                </c:pt>
                <c:pt idx="202">
                  <c:v>0.12468827930174564</c:v>
                </c:pt>
                <c:pt idx="203">
                  <c:v>0.16389351081530781</c:v>
                </c:pt>
                <c:pt idx="204">
                  <c:v>0.13732097725358045</c:v>
                </c:pt>
                <c:pt idx="205">
                  <c:v>0.19760479041916168</c:v>
                </c:pt>
                <c:pt idx="206">
                  <c:v>0.29198966408268734</c:v>
                </c:pt>
                <c:pt idx="207">
                  <c:v>0.12942191544434858</c:v>
                </c:pt>
                <c:pt idx="208">
                  <c:v>0.17574692442882248</c:v>
                </c:pt>
                <c:pt idx="209">
                  <c:v>0.22026431718061676</c:v>
                </c:pt>
                <c:pt idx="210">
                  <c:v>0.15658362989323843</c:v>
                </c:pt>
                <c:pt idx="211">
                  <c:v>0.13428827215756492</c:v>
                </c:pt>
                <c:pt idx="212">
                  <c:v>0.17967332123411978</c:v>
                </c:pt>
                <c:pt idx="213">
                  <c:v>0.13649025069637882</c:v>
                </c:pt>
                <c:pt idx="214">
                  <c:v>0.14084507042253522</c:v>
                </c:pt>
                <c:pt idx="215">
                  <c:v>0.18814675446848542</c:v>
                </c:pt>
                <c:pt idx="216">
                  <c:v>0.15203021718602455</c:v>
                </c:pt>
                <c:pt idx="217">
                  <c:v>0.11893434823977164</c:v>
                </c:pt>
                <c:pt idx="218">
                  <c:v>0.19342359767891684</c:v>
                </c:pt>
                <c:pt idx="219">
                  <c:v>0.16054158607350097</c:v>
                </c:pt>
                <c:pt idx="220">
                  <c:v>0.1936108422071636</c:v>
                </c:pt>
                <c:pt idx="221">
                  <c:v>0.16166505324298161</c:v>
                </c:pt>
                <c:pt idx="222">
                  <c:v>0.25267249757045679</c:v>
                </c:pt>
                <c:pt idx="223">
                  <c:v>0.1665043816942551</c:v>
                </c:pt>
                <c:pt idx="224">
                  <c:v>0.19821605550049554</c:v>
                </c:pt>
                <c:pt idx="225">
                  <c:v>0.18172790466732869</c:v>
                </c:pt>
                <c:pt idx="226">
                  <c:v>0.12413108242303872</c:v>
                </c:pt>
                <c:pt idx="227">
                  <c:v>0.15694164989939638</c:v>
                </c:pt>
                <c:pt idx="228">
                  <c:v>0.17689161554192229</c:v>
                </c:pt>
                <c:pt idx="229">
                  <c:v>0.13636363636363638</c:v>
                </c:pt>
                <c:pt idx="230">
                  <c:v>0.41666666666666669</c:v>
                </c:pt>
                <c:pt idx="231">
                  <c:v>0.15183246073298429</c:v>
                </c:pt>
                <c:pt idx="232">
                  <c:v>0.22805017103762829</c:v>
                </c:pt>
                <c:pt idx="233">
                  <c:v>0.22377622377622378</c:v>
                </c:pt>
                <c:pt idx="234">
                  <c:v>0.17370892018779344</c:v>
                </c:pt>
                <c:pt idx="235">
                  <c:v>0.14688601645123384</c:v>
                </c:pt>
                <c:pt idx="236">
                  <c:v>0.17964071856287425</c:v>
                </c:pt>
                <c:pt idx="237">
                  <c:v>0.18604651162790697</c:v>
                </c:pt>
                <c:pt idx="238">
                  <c:v>0.19047619047619047</c:v>
                </c:pt>
                <c:pt idx="239">
                  <c:v>0.26631158455392812</c:v>
                </c:pt>
                <c:pt idx="240">
                  <c:v>0.71034482758620698</c:v>
                </c:pt>
                <c:pt idx="241">
                  <c:v>0.13793103448275862</c:v>
                </c:pt>
                <c:pt idx="242">
                  <c:v>0.17391304347826086</c:v>
                </c:pt>
                <c:pt idx="243">
                  <c:v>0.32573289902280134</c:v>
                </c:pt>
              </c:numCache>
            </c:numRef>
          </c:xVal>
          <c:yVal>
            <c:numRef>
              <c:f>tips!$H$2:$H$245</c:f>
              <c:numCache>
                <c:formatCode>General</c:formatCode>
                <c:ptCount val="24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2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  <c:pt idx="40">
                  <c:v>5</c:v>
                </c:pt>
                <c:pt idx="41">
                  <c:v>2</c:v>
                </c:pt>
                <c:pt idx="42">
                  <c:v>4</c:v>
                </c:pt>
                <c:pt idx="43">
                  <c:v>2</c:v>
                </c:pt>
                <c:pt idx="44">
                  <c:v>6</c:v>
                </c:pt>
                <c:pt idx="45">
                  <c:v>4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4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2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4</c:v>
                </c:pt>
                <c:pt idx="58">
                  <c:v>4</c:v>
                </c:pt>
                <c:pt idx="59">
                  <c:v>3</c:v>
                </c:pt>
                <c:pt idx="60">
                  <c:v>2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4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3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3</c:v>
                </c:pt>
                <c:pt idx="130">
                  <c:v>3</c:v>
                </c:pt>
                <c:pt idx="131">
                  <c:v>2</c:v>
                </c:pt>
                <c:pt idx="132">
                  <c:v>3</c:v>
                </c:pt>
                <c:pt idx="133">
                  <c:v>3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3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2</c:v>
                </c:pt>
                <c:pt idx="146">
                  <c:v>3</c:v>
                </c:pt>
                <c:pt idx="147">
                  <c:v>3</c:v>
                </c:pt>
                <c:pt idx="148">
                  <c:v>2</c:v>
                </c:pt>
                <c:pt idx="149">
                  <c:v>3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3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3</c:v>
                </c:pt>
                <c:pt idx="220">
                  <c:v>2</c:v>
                </c:pt>
                <c:pt idx="221">
                  <c:v>3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B-4B6A-B53C-AF24FC85E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37680"/>
        <c:axId val="1164535280"/>
      </c:scatterChart>
      <c:valAx>
        <c:axId val="116453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</a:t>
                </a:r>
                <a:r>
                  <a:rPr lang="es-MX" baseline="0"/>
                  <a:t> de Propina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535280"/>
        <c:crosses val="autoZero"/>
        <c:crossBetween val="midCat"/>
      </c:valAx>
      <c:valAx>
        <c:axId val="116453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Tamaño</a:t>
                </a:r>
                <a:r>
                  <a:rPr lang="es-MX" baseline="0"/>
                  <a:t> de Mesa</a:t>
                </a:r>
                <a:endParaRPr lang="es-MX"/>
              </a:p>
            </c:rich>
          </c:tx>
          <c:layout>
            <c:manualLayout>
              <c:xMode val="edge"/>
              <c:yMode val="edge"/>
              <c:x val="1.6666666666666666E-2"/>
              <c:y val="0.353406605424321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53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 Analysis Dataset.xlsx]tips!TablaDinámica12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</a:t>
            </a:r>
            <a:r>
              <a:rPr lang="en-US" baseline="0"/>
              <a:t> de Propinas por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tips!$L$5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tips!$K$6:$K$15</c:f>
              <c:multiLvlStrCache>
                <c:ptCount val="6"/>
                <c:lvl>
                  <c:pt idx="0">
                    <c:v>Dinner</c:v>
                  </c:pt>
                  <c:pt idx="1">
                    <c:v>Dinner</c:v>
                  </c:pt>
                  <c:pt idx="2">
                    <c:v>Lunch</c:v>
                  </c:pt>
                  <c:pt idx="3">
                    <c:v>Dinner</c:v>
                  </c:pt>
                  <c:pt idx="4">
                    <c:v>Dinner</c:v>
                  </c:pt>
                  <c:pt idx="5">
                    <c:v>Lunch</c:v>
                  </c:pt>
                </c:lvl>
                <c:lvl>
                  <c:pt idx="0">
                    <c:v>Sun</c:v>
                  </c:pt>
                  <c:pt idx="1">
                    <c:v>Fri</c:v>
                  </c:pt>
                  <c:pt idx="3">
                    <c:v>Sat</c:v>
                  </c:pt>
                  <c:pt idx="4">
                    <c:v>Thur</c:v>
                  </c:pt>
                </c:lvl>
              </c:multiLvlStrCache>
            </c:multiLvlStrRef>
          </c:cat>
          <c:val>
            <c:numRef>
              <c:f>tips!$L$6:$L$15</c:f>
              <c:numCache>
                <c:formatCode>0.00%</c:formatCode>
                <c:ptCount val="6"/>
                <c:pt idx="0">
                  <c:v>0.16689728635113457</c:v>
                </c:pt>
                <c:pt idx="1">
                  <c:v>0.15891611065601627</c:v>
                </c:pt>
                <c:pt idx="2">
                  <c:v>0.18876488829484336</c:v>
                </c:pt>
                <c:pt idx="3">
                  <c:v>0.15315171638777811</c:v>
                </c:pt>
                <c:pt idx="4">
                  <c:v>0.15974440894568689</c:v>
                </c:pt>
                <c:pt idx="5">
                  <c:v>0.16130073601617098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8-4C65-94B9-F70FE5CE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627920"/>
        <c:axId val="1164640880"/>
      </c:barChart>
      <c:catAx>
        <c:axId val="116462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640880"/>
        <c:crosses val="autoZero"/>
        <c:auto val="1"/>
        <c:lblAlgn val="ctr"/>
        <c:lblOffset val="100"/>
        <c:noMultiLvlLbl val="0"/>
      </c:catAx>
      <c:valAx>
        <c:axId val="11646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6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 Analysis Dataset.xlsx]tips!TablaDinámica15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de Propinas por Tamaño de Mesa</a:t>
            </a:r>
          </a:p>
        </c:rich>
      </c:tx>
      <c:layout>
        <c:manualLayout>
          <c:xMode val="edge"/>
          <c:yMode val="edge"/>
          <c:x val="0.17437388669966239"/>
          <c:y val="0.1164597674827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tips!$L$21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tips!$K$22:$K$27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tips!$L$22:$L$27</c:f>
              <c:numCache>
                <c:formatCode>0.00%</c:formatCode>
                <c:ptCount val="6"/>
                <c:pt idx="0">
                  <c:v>0.21729201548727811</c:v>
                </c:pt>
                <c:pt idx="1">
                  <c:v>0.16571919173482896</c:v>
                </c:pt>
                <c:pt idx="2">
                  <c:v>0.15215685473711829</c:v>
                </c:pt>
                <c:pt idx="3">
                  <c:v>0.14594900639351333</c:v>
                </c:pt>
                <c:pt idx="4">
                  <c:v>0.14149548965142023</c:v>
                </c:pt>
                <c:pt idx="5">
                  <c:v>0.15622920072028379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F-48DD-815E-BADE4C86E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651920"/>
        <c:axId val="1164652400"/>
      </c:barChart>
      <c:catAx>
        <c:axId val="116465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652400"/>
        <c:crosses val="autoZero"/>
        <c:auto val="1"/>
        <c:lblAlgn val="ctr"/>
        <c:lblOffset val="100"/>
        <c:noMultiLvlLbl val="0"/>
      </c:catAx>
      <c:valAx>
        <c:axId val="11646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65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 Analysis Dataset.xlsx]tips!TablaDinámica19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</a:t>
            </a:r>
            <a:r>
              <a:rPr lang="en-US" baseline="0"/>
              <a:t> de Propinas por Género y Fumador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tips!$L$29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tips!$K$30:$K$35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</c:lvl>
              </c:multiLvlStrCache>
            </c:multiLvlStrRef>
          </c:cat>
          <c:val>
            <c:numRef>
              <c:f>tips!$L$30:$L$35</c:f>
              <c:numCache>
                <c:formatCode>0.00%</c:formatCode>
                <c:ptCount val="4"/>
                <c:pt idx="0">
                  <c:v>0.1569209707691836</c:v>
                </c:pt>
                <c:pt idx="1">
                  <c:v>0.1821503526994103</c:v>
                </c:pt>
                <c:pt idx="2">
                  <c:v>0.16066871512912978</c:v>
                </c:pt>
                <c:pt idx="3">
                  <c:v>0.15277117520248507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0-4015-A26D-D65E1CE3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552560"/>
        <c:axId val="1164550640"/>
      </c:barChart>
      <c:catAx>
        <c:axId val="116455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550640"/>
        <c:crosses val="autoZero"/>
        <c:auto val="1"/>
        <c:lblAlgn val="ctr"/>
        <c:lblOffset val="100"/>
        <c:noMultiLvlLbl val="0"/>
      </c:catAx>
      <c:valAx>
        <c:axId val="11645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55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 Analysis Dataset.xlsx]tips!TablaDinámica20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</a:t>
            </a:r>
            <a:r>
              <a:rPr lang="en-US" baseline="0"/>
              <a:t> de Propinas en Hora de Comida y Fumador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tips!$L$37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tips!$K$38:$K$43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Dinner</c:v>
                  </c:pt>
                  <c:pt idx="2">
                    <c:v>Lunch</c:v>
                  </c:pt>
                </c:lvl>
              </c:multiLvlStrCache>
            </c:multiLvlStrRef>
          </c:cat>
          <c:val>
            <c:numRef>
              <c:f>tips!$L$38:$L$43</c:f>
              <c:numCache>
                <c:formatCode>0.00%</c:formatCode>
                <c:ptCount val="4"/>
                <c:pt idx="0">
                  <c:v>0.15865277216988441</c:v>
                </c:pt>
                <c:pt idx="1">
                  <c:v>0.16082767107475798</c:v>
                </c:pt>
                <c:pt idx="2">
                  <c:v>0.16092008753452777</c:v>
                </c:pt>
                <c:pt idx="3">
                  <c:v>0.17040413808680813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6-4FFA-BFAB-3B2D3DAC1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562160"/>
        <c:axId val="1164562640"/>
      </c:barChart>
      <c:catAx>
        <c:axId val="116456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562640"/>
        <c:crosses val="autoZero"/>
        <c:auto val="1"/>
        <c:lblAlgn val="ctr"/>
        <c:lblOffset val="100"/>
        <c:noMultiLvlLbl val="0"/>
      </c:catAx>
      <c:valAx>
        <c:axId val="11645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56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Porcentaje de Propinas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Porcentaje de Propinas</a:t>
          </a:r>
        </a:p>
      </cx:txPr>
    </cx:title>
    <cx:plotArea>
      <cx:plotAreaRegion>
        <cx:series layoutId="clusteredColumn" uniqueId="{51786109-841E-4210-8060-94798BE1BBDA}">
          <cx:tx>
            <cx:txData>
              <cx:f>_xlchart.v1.0</cx:f>
              <cx:v> tip_percent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Porcentaje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Porcentaje </a:t>
              </a:r>
            </a:p>
          </cx:txPr>
        </cx:title>
        <cx:tickLabels/>
      </cx:axis>
      <cx:axis id="1">
        <cx:valScaling/>
        <cx:title>
          <cx:tx>
            <cx:txData>
              <cx:v>Cantidad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Cantidad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8468</xdr:rowOff>
    </xdr:from>
    <xdr:to>
      <xdr:col>6</xdr:col>
      <xdr:colOff>16932</xdr:colOff>
      <xdr:row>16</xdr:row>
      <xdr:rowOff>33868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7D8228A-F0B5-46F1-BA35-D45AE84944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588"/>
              <a:ext cx="4771812" cy="2768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16</xdr:row>
      <xdr:rowOff>22860</xdr:rowOff>
    </xdr:from>
    <xdr:to>
      <xdr:col>6</xdr:col>
      <xdr:colOff>16933</xdr:colOff>
      <xdr:row>31</xdr:row>
      <xdr:rowOff>31327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B815B9-639F-43AE-8EFC-D2A2FC337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31</xdr:row>
      <xdr:rowOff>33867</xdr:rowOff>
    </xdr:from>
    <xdr:to>
      <xdr:col>6</xdr:col>
      <xdr:colOff>8467</xdr:colOff>
      <xdr:row>46</xdr:row>
      <xdr:rowOff>67733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98A917-DEC1-46A8-8B98-45308E81E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42333</xdr:colOff>
      <xdr:row>1</xdr:row>
      <xdr:rowOff>8467</xdr:rowOff>
    </xdr:from>
    <xdr:to>
      <xdr:col>11</xdr:col>
      <xdr:colOff>313267</xdr:colOff>
      <xdr:row>11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77B124-3BFB-4A23-9FFD-8323EB5B6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376767</xdr:colOff>
      <xdr:row>1</xdr:row>
      <xdr:rowOff>18627</xdr:rowOff>
    </xdr:from>
    <xdr:to>
      <xdr:col>13</xdr:col>
      <xdr:colOff>8466</xdr:colOff>
      <xdr:row>11</xdr:row>
      <xdr:rowOff>84668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ay">
              <a:extLst>
                <a:ext uri="{FF2B5EF4-FFF2-40B4-BE49-F238E27FC236}">
                  <a16:creationId xmlns:a16="http://schemas.microsoft.com/office/drawing/2014/main" id="{B18C6E41-33E0-E712-1574-C049B8D3C6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1300" y="213360"/>
              <a:ext cx="1223433" cy="19287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42334</xdr:colOff>
      <xdr:row>11</xdr:row>
      <xdr:rowOff>110067</xdr:rowOff>
    </xdr:from>
    <xdr:to>
      <xdr:col>11</xdr:col>
      <xdr:colOff>321735</xdr:colOff>
      <xdr:row>22</xdr:row>
      <xdr:rowOff>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B6D061C-96CD-4826-932D-5693A30FC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369148</xdr:colOff>
      <xdr:row>11</xdr:row>
      <xdr:rowOff>138853</xdr:rowOff>
    </xdr:from>
    <xdr:to>
      <xdr:col>13</xdr:col>
      <xdr:colOff>84667</xdr:colOff>
      <xdr:row>22</xdr:row>
      <xdr:rowOff>16933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able_size">
              <a:extLst>
                <a:ext uri="{FF2B5EF4-FFF2-40B4-BE49-F238E27FC236}">
                  <a16:creationId xmlns:a16="http://schemas.microsoft.com/office/drawing/2014/main" id="{E06248EC-B664-D59D-9903-D56AD9117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ble_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3681" y="2196253"/>
              <a:ext cx="1307253" cy="1927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25400</xdr:colOff>
      <xdr:row>22</xdr:row>
      <xdr:rowOff>25400</xdr:rowOff>
    </xdr:from>
    <xdr:to>
      <xdr:col>11</xdr:col>
      <xdr:colOff>330200</xdr:colOff>
      <xdr:row>32</xdr:row>
      <xdr:rowOff>16933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8C61157-39F1-4303-8F38-BC859163A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25400</xdr:colOff>
      <xdr:row>32</xdr:row>
      <xdr:rowOff>50801</xdr:rowOff>
    </xdr:from>
    <xdr:to>
      <xdr:col>11</xdr:col>
      <xdr:colOff>347134</xdr:colOff>
      <xdr:row>43</xdr:row>
      <xdr:rowOff>160867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99C44FA-0CE1-4FDA-92BD-FB0DE2860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13</xdr:col>
      <xdr:colOff>103541</xdr:colOff>
      <xdr:row>22</xdr:row>
      <xdr:rowOff>28240</xdr:rowOff>
    </xdr:from>
    <xdr:to>
      <xdr:col>14</xdr:col>
      <xdr:colOff>519953</xdr:colOff>
      <xdr:row>32</xdr:row>
      <xdr:rowOff>26895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ex">
              <a:extLst>
                <a:ext uri="{FF2B5EF4-FFF2-40B4-BE49-F238E27FC236}">
                  <a16:creationId xmlns:a16="http://schemas.microsoft.com/office/drawing/2014/main" id="{17590515-64E5-8B69-2300-8384FDD426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9165" y="3990640"/>
              <a:ext cx="1205306" cy="17915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368449</xdr:colOff>
      <xdr:row>22</xdr:row>
      <xdr:rowOff>24204</xdr:rowOff>
    </xdr:from>
    <xdr:to>
      <xdr:col>13</xdr:col>
      <xdr:colOff>62752</xdr:colOff>
      <xdr:row>32</xdr:row>
      <xdr:rowOff>17930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smoker">
              <a:extLst>
                <a:ext uri="{FF2B5EF4-FFF2-40B4-BE49-F238E27FC236}">
                  <a16:creationId xmlns:a16="http://schemas.microsoft.com/office/drawing/2014/main" id="{9667C8A4-C957-7DD3-21AC-39253690F1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mok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46284" y="3986604"/>
              <a:ext cx="1272092" cy="17866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381449</xdr:colOff>
      <xdr:row>32</xdr:row>
      <xdr:rowOff>64098</xdr:rowOff>
    </xdr:from>
    <xdr:to>
      <xdr:col>13</xdr:col>
      <xdr:colOff>53788</xdr:colOff>
      <xdr:row>43</xdr:row>
      <xdr:rowOff>125506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smoker 1">
              <a:extLst>
                <a:ext uri="{FF2B5EF4-FFF2-40B4-BE49-F238E27FC236}">
                  <a16:creationId xmlns:a16="http://schemas.microsoft.com/office/drawing/2014/main" id="{C1DAC2B6-89E5-D43D-6D7F-7FEC52D5DE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mok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9284" y="5819439"/>
              <a:ext cx="1250128" cy="20336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99507</xdr:colOff>
      <xdr:row>32</xdr:row>
      <xdr:rowOff>69028</xdr:rowOff>
    </xdr:from>
    <xdr:to>
      <xdr:col>14</xdr:col>
      <xdr:colOff>546847</xdr:colOff>
      <xdr:row>43</xdr:row>
      <xdr:rowOff>125506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time">
              <a:extLst>
                <a:ext uri="{FF2B5EF4-FFF2-40B4-BE49-F238E27FC236}">
                  <a16:creationId xmlns:a16="http://schemas.microsoft.com/office/drawing/2014/main" id="{006644DE-4243-A126-2AA4-7F921DEB05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5131" y="5824369"/>
              <a:ext cx="1236234" cy="2028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Cuervo" refreshedDate="45968.32315138889" createdVersion="8" refreshedVersion="8" minRefreshableVersion="3" recordCount="244" xr:uid="{42CC99F7-D6CE-4A8D-81FB-F24B485FE143}">
  <cacheSource type="worksheet">
    <worksheetSource name="Tabla2"/>
  </cacheSource>
  <cacheFields count="9">
    <cacheField name=" total_bill " numFmtId="8">
      <sharedItems containsSemiMixedTypes="0" containsString="0" containsNumber="1" minValue="3.07" maxValue="50.81"/>
    </cacheField>
    <cacheField name=" tip " numFmtId="8">
      <sharedItems containsSemiMixedTypes="0" containsString="0" containsNumber="1" minValue="1" maxValue="10"/>
    </cacheField>
    <cacheField name=" tip_percent " numFmtId="9">
      <sharedItems containsSemiMixedTypes="0" containsString="0" containsNumber="1" minValue="3.5638135851355467E-2" maxValue="0.71034482758620698" count="242">
        <n v="5.9446733372572107E-2"/>
        <n v="0.16054158607350097"/>
        <n v="0.16658733936220846"/>
        <n v="0.1397804054054054"/>
        <n v="0.14680764538430255"/>
        <n v="0.18623962040332148"/>
        <n v="0.22805017103762829"/>
        <n v="0.11607142857142858"/>
        <n v="0.13031914893617022"/>
        <n v="0.21853856562922869"/>
        <n v="0.1665043816942551"/>
        <n v="0.14180374361883155"/>
        <n v="0.10181582360570687"/>
        <n v="0.16277807921866522"/>
        <n v="0.20364126770060686"/>
        <n v="0.18164967562557924"/>
        <n v="0.16166505324298161"/>
        <n v="0.22774708410067526"/>
        <n v="0.20624631703005306"/>
        <n v="0.16222760290556903"/>
        <n v="0.22767857142857142"/>
        <n v="0.13553474618038444"/>
        <n v="0.14140773620798985"/>
        <n v="0.19228817858954844"/>
        <n v="0.16044399596367306"/>
        <n v="0.13138686131386862"/>
        <n v="0.14958863126402394"/>
        <n v="0.15760441292356187"/>
        <n v="0.19815668202764977"/>
        <n v="0.15267175572519084"/>
        <n v="0.15183246073298429"/>
        <n v="0.13623978201634876"/>
        <n v="0.19920318725099601"/>
        <n v="0.11841469308844853"/>
        <n v="0.18391451068616421"/>
        <n v="0.14962593516209477"/>
        <n v="0.12262415695892091"/>
        <n v="0.1813349084465446"/>
        <n v="0.12359550561797752"/>
        <n v="0.1598976654940838"/>
        <n v="0.13965087281795513"/>
        <n v="0.14547537227949597"/>
        <n v="0.21951219512195122"/>
        <n v="0.13636363636363638"/>
        <n v="0.18421052631578946"/>
        <n v="0.16402405686167304"/>
        <n v="0.22492127755285649"/>
        <n v="0.1851851851851852"/>
        <n v="7.1803852889667244E-2"/>
        <n v="0.16629711751662973"/>
        <n v="0.19936204146730463"/>
        <n v="0.25267249757045679"/>
        <n v="0.14938236139040506"/>
        <n v="0.15694164989939638"/>
        <n v="0.16979655712050079"/>
        <n v="0.18009235505387378"/>
        <n v="7.8926598263614839E-2"/>
        <n v="5.679666792881484E-2"/>
        <n v="0.15658362989323843"/>
        <n v="0.13942407292314066"/>
        <n v="0.15820601281419419"/>
        <n v="0.14482259232440259"/>
        <n v="0.17967332123411978"/>
        <n v="0.20557681793329688"/>
        <n v="0.15008527572484368"/>
        <n v="0.15687250996015936"/>
        <n v="0.1501519756838906"/>
        <n v="0.32573289902280134"/>
        <n v="9.9357390014829447E-2"/>
        <n v="0.13924050632911392"/>
        <n v="0.16389351081530781"/>
        <n v="0.1757469244288225"/>
        <n v="0.11690245718540582"/>
        <n v="0.19778481012658228"/>
        <n v="0.14935505770536323"/>
        <n v="0.11893434823977164"/>
        <n v="0.171875"/>
        <n v="0.14705882352941177"/>
        <n v="0.13181019332161686"/>
        <n v="0.15673799884326201"/>
        <n v="0.15432098765432098"/>
        <n v="0.20408163265306123"/>
        <n v="0.18172790466732869"/>
        <n v="0.15299877600979192"/>
        <n v="0.12703379224030037"/>
        <n v="0.14843525696238874"/>
        <n v="0.15349194167306218"/>
        <n v="0.21881838074398249"/>
        <n v="0.23674625657628487"/>
        <n v="0.14177693761814744"/>
        <n v="0.10355540214014498"/>
        <n v="0.15562472209871056"/>
        <n v="0.17391304347826086"/>
        <n v="0.26348039215686275"/>
        <n v="0.14285714285714285"/>
        <n v="0.1177495643515061"/>
        <n v="0.14662756598240467"/>
        <n v="0.12468827930174564"/>
        <n v="0.1427891480247501"/>
        <n v="0.1203852327447833"/>
        <n v="0.22026431718061676"/>
        <n v="0.19505851755526657"/>
        <n v="5.6433408577878111E-2"/>
        <n v="0.15521855486173058"/>
        <n v="0.19502868068833651"/>
        <n v="0.10677083333333333"/>
        <n v="0.19814543679843827"/>
        <n v="0.17017056723522411"/>
        <n v="0.20614035087719298"/>
        <n v="0.27952480782669459"/>
        <n v="0.21428571428571427"/>
        <n v="0.13793103448275862"/>
        <n v="0.10506960861570791"/>
        <n v="0.10647181628392484"/>
        <n v="0.15558148580318942"/>
        <n v="0.20219526285384173"/>
        <n v="0.1693952555963916"/>
        <n v="0.14084507042253522"/>
        <n v="0.14481094127111827"/>
        <n v="0.1212624584717608"/>
        <n v="0.19760479041916168"/>
        <n v="0.12518628912071533"/>
        <n v="0.17531556802244039"/>
        <n v="0.12539184952978058"/>
        <n v="0.20192307692307693"/>
        <n v="0.14093959731543623"/>
        <n v="0.17370892018779344"/>
        <n v="0.13774104683195593"/>
        <n v="0.17574692442882248"/>
        <n v="9.5530236634531113E-2"/>
        <n v="7.8616352201257872E-2"/>
        <n v="0.13961519486926494"/>
        <n v="0.13428827215756492"/>
        <n v="0.16313213703099511"/>
        <n v="0.17798466593647316"/>
        <n v="0.14688601645123384"/>
        <n v="0.1936108422071636"/>
        <n v="0.14134275618374559"/>
        <n v="0.125"/>
        <n v="0.20896656534954408"/>
        <n v="0.20034344590726963"/>
        <n v="0.19533527696793004"/>
        <n v="0.12138868657441128"/>
        <n v="0.18484288354898337"/>
        <n v="0.13998782714546559"/>
        <n v="0.17964071856287425"/>
        <n v="7.2961373390557943E-2"/>
        <n v="0.13732097725358045"/>
        <n v="0.17689161554192229"/>
        <n v="0.26631158455392812"/>
        <n v="0.17768301350390903"/>
        <n v="0.15232292460015232"/>
        <n v="0.15874855156431053"/>
        <n v="8.1466395112016296E-2"/>
        <n v="0.10116337885685382"/>
        <n v="0.17219430485762141"/>
        <n v="0.10379904504878555"/>
        <n v="0.15"/>
        <n v="0.19492158327109782"/>
        <n v="0.12128562765312312"/>
        <n v="0.16279069767441862"/>
        <n v="0.19747235387045814"/>
        <n v="0.12338062924120913"/>
        <n v="0.17133066818960593"/>
        <n v="0.14192495921696574"/>
        <n v="0.10789980732177264"/>
        <n v="0.14191106906338694"/>
        <n v="0.15203021718602455"/>
        <n v="0.18814675446848542"/>
        <n v="0.19681165124975397"/>
        <n v="0.19987349778621127"/>
        <n v="0.71034482758620698"/>
        <n v="9.9843014128728411E-2"/>
        <n v="0.23781212841854935"/>
        <n v="9.4528875379939203E-2"/>
        <n v="0.11179429849077696"/>
        <n v="0.13812154696132597"/>
        <n v="0.41666666666666669"/>
        <n v="0.102512272596015"/>
        <n v="0.10620490620490622"/>
        <n v="0.24217745392198889"/>
        <n v="7.7177508269018744E-2"/>
        <n v="0.28053517479499351"/>
        <n v="7.3982737361282372E-2"/>
        <n v="0.24166263895601739"/>
        <n v="0.1674641148325359"/>
        <n v="6.5659881812212731E-2"/>
        <n v="0.1928374655647383"/>
        <n v="0.17316017316017315"/>
        <n v="9.5602294455066919E-2"/>
        <n v="0.21150933871781932"/>
        <n v="9.0014064697609003E-2"/>
        <n v="0.13049095607235142"/>
        <n v="0.24125452352231608"/>
        <n v="0.19047619047619047"/>
        <n v="0.19342359767891684"/>
        <n v="0.11598237067965669"/>
        <n v="0.15384615384615385"/>
        <n v="0.14803849000740193"/>
        <n v="0.2137894174238375"/>
        <n v="0.15777080062794346"/>
        <n v="0.15243902439024393"/>
        <n v="0.19483682415976619"/>
        <n v="0.19611414693381907"/>
        <n v="0.1282437006393381"/>
        <n v="7.7459333849728904E-2"/>
        <n v="8.3642356819118246E-2"/>
        <n v="0.17476489028213166"/>
        <n v="6.6533599467731214E-2"/>
        <n v="0.19930475086906141"/>
        <n v="0.18621973929236499"/>
        <n v="0.18839487565938207"/>
        <n v="0.23074192403265883"/>
        <n v="8.5271317829457363E-2"/>
        <n v="0.10657193605683837"/>
        <n v="0.12942191544434858"/>
        <n v="0.18604651162790697"/>
        <n v="0.10252156602521566"/>
        <n v="0.18092105263157895"/>
        <n v="0.25931445603576753"/>
        <n v="0.22377622377622378"/>
        <n v="0.18773466833541927"/>
        <n v="0.11773472429210134"/>
        <n v="0.15365703749231716"/>
        <n v="0.19821605550049554"/>
        <n v="0.14669926650366749"/>
        <n v="0.20481927710843376"/>
        <n v="0.13019891500904157"/>
        <n v="8.3298625572678045E-2"/>
        <n v="0.19120458891013384"/>
        <n v="0.29198966408268734"/>
        <n v="0.13649025069637882"/>
        <n v="0.19317450096587252"/>
        <n v="0.12413108242303872"/>
        <n v="7.9365079365079361E-2"/>
        <n v="3.5638135851355467E-2"/>
        <n v="0.13033770583310075"/>
        <n v="0.20392697209782981"/>
        <n v="7.358351729212656E-2"/>
        <n v="8.8222320247022493E-2"/>
        <n v="9.8204264870931535E-2"/>
        <n v="0.15974440894568689"/>
      </sharedItems>
    </cacheField>
    <cacheField name="sex" numFmtId="0">
      <sharedItems count="2">
        <s v="Female"/>
        <s v="Male"/>
      </sharedItems>
    </cacheField>
    <cacheField name="smoker" numFmtId="0">
      <sharedItems count="2">
        <s v="No"/>
        <s v="Yes"/>
      </sharedItems>
    </cacheField>
    <cacheField name="day" numFmtId="0">
      <sharedItems count="4">
        <s v="Sun"/>
        <s v="Sat"/>
        <s v="Thur"/>
        <s v="Fri"/>
      </sharedItems>
    </cacheField>
    <cacheField name="time" numFmtId="0">
      <sharedItems count="2">
        <s v="Dinner"/>
        <s v="Lunch"/>
      </sharedItems>
    </cacheField>
    <cacheField name="table_size" numFmtId="0">
      <sharedItems containsSemiMixedTypes="0" containsString="0" containsNumber="1" containsInteger="1" minValue="1" maxValue="6" count="6">
        <n v="2"/>
        <n v="3"/>
        <n v="4"/>
        <n v="1"/>
        <n v="6"/>
        <n v="5"/>
      </sharedItems>
    </cacheField>
    <cacheField name="bill_pperson" numFmtId="44">
      <sharedItems containsSemiMixedTypes="0" containsString="0" containsNumber="1" minValue="2.875" maxValue="20.274999999999999"/>
    </cacheField>
  </cacheFields>
  <extLst>
    <ext xmlns:x14="http://schemas.microsoft.com/office/spreadsheetml/2009/9/main" uri="{725AE2AE-9491-48be-B2B4-4EB974FC3084}">
      <x14:pivotCacheDefinition pivotCacheId="19608405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n v="16.989999999999998"/>
    <n v="1.01"/>
    <x v="0"/>
    <x v="0"/>
    <x v="0"/>
    <x v="0"/>
    <x v="0"/>
    <x v="0"/>
    <n v="8.4949999999999992"/>
  </r>
  <r>
    <n v="10.34"/>
    <n v="1.66"/>
    <x v="1"/>
    <x v="1"/>
    <x v="0"/>
    <x v="0"/>
    <x v="0"/>
    <x v="1"/>
    <n v="3.4466666666666668"/>
  </r>
  <r>
    <n v="21.01"/>
    <n v="3.5"/>
    <x v="2"/>
    <x v="1"/>
    <x v="0"/>
    <x v="0"/>
    <x v="0"/>
    <x v="1"/>
    <n v="7.0033333333333339"/>
  </r>
  <r>
    <n v="23.68"/>
    <n v="3.31"/>
    <x v="3"/>
    <x v="1"/>
    <x v="0"/>
    <x v="0"/>
    <x v="0"/>
    <x v="0"/>
    <n v="11.84"/>
  </r>
  <r>
    <n v="24.59"/>
    <n v="3.61"/>
    <x v="4"/>
    <x v="0"/>
    <x v="0"/>
    <x v="0"/>
    <x v="0"/>
    <x v="2"/>
    <n v="6.1475"/>
  </r>
  <r>
    <n v="25.29"/>
    <n v="4.71"/>
    <x v="5"/>
    <x v="1"/>
    <x v="0"/>
    <x v="0"/>
    <x v="0"/>
    <x v="2"/>
    <n v="6.3224999999999998"/>
  </r>
  <r>
    <n v="8.77"/>
    <n v="2"/>
    <x v="6"/>
    <x v="1"/>
    <x v="0"/>
    <x v="0"/>
    <x v="0"/>
    <x v="0"/>
    <n v="4.3849999999999998"/>
  </r>
  <r>
    <n v="26.88"/>
    <n v="3.12"/>
    <x v="7"/>
    <x v="1"/>
    <x v="0"/>
    <x v="0"/>
    <x v="0"/>
    <x v="2"/>
    <n v="6.72"/>
  </r>
  <r>
    <n v="15.04"/>
    <n v="1.96"/>
    <x v="8"/>
    <x v="1"/>
    <x v="0"/>
    <x v="0"/>
    <x v="0"/>
    <x v="0"/>
    <n v="7.52"/>
  </r>
  <r>
    <n v="14.78"/>
    <n v="3.23"/>
    <x v="9"/>
    <x v="1"/>
    <x v="0"/>
    <x v="0"/>
    <x v="0"/>
    <x v="0"/>
    <n v="7.39"/>
  </r>
  <r>
    <n v="10.27"/>
    <n v="1.71"/>
    <x v="10"/>
    <x v="1"/>
    <x v="0"/>
    <x v="0"/>
    <x v="0"/>
    <x v="0"/>
    <n v="5.1349999999999998"/>
  </r>
  <r>
    <n v="35.26"/>
    <n v="5"/>
    <x v="11"/>
    <x v="0"/>
    <x v="0"/>
    <x v="0"/>
    <x v="0"/>
    <x v="2"/>
    <n v="8.8149999999999995"/>
  </r>
  <r>
    <n v="15.42"/>
    <n v="1.57"/>
    <x v="12"/>
    <x v="1"/>
    <x v="0"/>
    <x v="0"/>
    <x v="0"/>
    <x v="0"/>
    <n v="7.71"/>
  </r>
  <r>
    <n v="18.43"/>
    <n v="3"/>
    <x v="13"/>
    <x v="1"/>
    <x v="0"/>
    <x v="0"/>
    <x v="0"/>
    <x v="2"/>
    <n v="4.6074999999999999"/>
  </r>
  <r>
    <n v="14.83"/>
    <n v="3.02"/>
    <x v="14"/>
    <x v="0"/>
    <x v="0"/>
    <x v="0"/>
    <x v="0"/>
    <x v="0"/>
    <n v="7.415"/>
  </r>
  <r>
    <n v="21.58"/>
    <n v="3.92"/>
    <x v="15"/>
    <x v="1"/>
    <x v="0"/>
    <x v="0"/>
    <x v="0"/>
    <x v="0"/>
    <n v="10.79"/>
  </r>
  <r>
    <n v="10.33"/>
    <n v="1.67"/>
    <x v="16"/>
    <x v="0"/>
    <x v="0"/>
    <x v="0"/>
    <x v="0"/>
    <x v="1"/>
    <n v="3.4433333333333334"/>
  </r>
  <r>
    <n v="16.29"/>
    <n v="3.71"/>
    <x v="17"/>
    <x v="1"/>
    <x v="0"/>
    <x v="0"/>
    <x v="0"/>
    <x v="1"/>
    <n v="5.43"/>
  </r>
  <r>
    <n v="16.97"/>
    <n v="3.5"/>
    <x v="18"/>
    <x v="0"/>
    <x v="0"/>
    <x v="0"/>
    <x v="0"/>
    <x v="1"/>
    <n v="5.6566666666666663"/>
  </r>
  <r>
    <n v="20.65"/>
    <n v="3.35"/>
    <x v="19"/>
    <x v="1"/>
    <x v="0"/>
    <x v="1"/>
    <x v="0"/>
    <x v="1"/>
    <n v="6.8833333333333329"/>
  </r>
  <r>
    <n v="17.920000000000002"/>
    <n v="4.08"/>
    <x v="20"/>
    <x v="1"/>
    <x v="0"/>
    <x v="1"/>
    <x v="0"/>
    <x v="0"/>
    <n v="8.9600000000000009"/>
  </r>
  <r>
    <n v="20.29"/>
    <n v="2.75"/>
    <x v="21"/>
    <x v="0"/>
    <x v="0"/>
    <x v="1"/>
    <x v="0"/>
    <x v="0"/>
    <n v="10.145"/>
  </r>
  <r>
    <n v="15.77"/>
    <n v="2.23"/>
    <x v="22"/>
    <x v="0"/>
    <x v="0"/>
    <x v="1"/>
    <x v="0"/>
    <x v="0"/>
    <n v="7.8849999999999998"/>
  </r>
  <r>
    <n v="39.42"/>
    <n v="7.58"/>
    <x v="23"/>
    <x v="1"/>
    <x v="0"/>
    <x v="1"/>
    <x v="0"/>
    <x v="2"/>
    <n v="9.8550000000000004"/>
  </r>
  <r>
    <n v="19.82"/>
    <n v="3.18"/>
    <x v="24"/>
    <x v="1"/>
    <x v="0"/>
    <x v="1"/>
    <x v="0"/>
    <x v="0"/>
    <n v="9.91"/>
  </r>
  <r>
    <n v="17.809999999999999"/>
    <n v="2.34"/>
    <x v="25"/>
    <x v="1"/>
    <x v="0"/>
    <x v="1"/>
    <x v="0"/>
    <x v="2"/>
    <n v="4.4524999999999997"/>
  </r>
  <r>
    <n v="13.37"/>
    <n v="2"/>
    <x v="26"/>
    <x v="1"/>
    <x v="0"/>
    <x v="1"/>
    <x v="0"/>
    <x v="0"/>
    <n v="6.6849999999999996"/>
  </r>
  <r>
    <n v="12.69"/>
    <n v="2"/>
    <x v="27"/>
    <x v="1"/>
    <x v="0"/>
    <x v="1"/>
    <x v="0"/>
    <x v="0"/>
    <n v="6.3449999999999998"/>
  </r>
  <r>
    <n v="21.7"/>
    <n v="4.3"/>
    <x v="28"/>
    <x v="1"/>
    <x v="0"/>
    <x v="1"/>
    <x v="0"/>
    <x v="0"/>
    <n v="10.85"/>
  </r>
  <r>
    <n v="19.649999999999999"/>
    <n v="3"/>
    <x v="29"/>
    <x v="0"/>
    <x v="0"/>
    <x v="1"/>
    <x v="0"/>
    <x v="0"/>
    <n v="9.8249999999999993"/>
  </r>
  <r>
    <n v="9.5500000000000007"/>
    <n v="1.45"/>
    <x v="30"/>
    <x v="1"/>
    <x v="0"/>
    <x v="1"/>
    <x v="0"/>
    <x v="0"/>
    <n v="4.7750000000000004"/>
  </r>
  <r>
    <n v="18.350000000000001"/>
    <n v="2.5"/>
    <x v="31"/>
    <x v="1"/>
    <x v="0"/>
    <x v="1"/>
    <x v="0"/>
    <x v="2"/>
    <n v="4.5875000000000004"/>
  </r>
  <r>
    <n v="15.06"/>
    <n v="3"/>
    <x v="32"/>
    <x v="0"/>
    <x v="0"/>
    <x v="1"/>
    <x v="0"/>
    <x v="0"/>
    <n v="7.53"/>
  </r>
  <r>
    <n v="20.69"/>
    <n v="2.4500000000000002"/>
    <x v="33"/>
    <x v="0"/>
    <x v="0"/>
    <x v="1"/>
    <x v="0"/>
    <x v="2"/>
    <n v="5.1725000000000003"/>
  </r>
  <r>
    <n v="17.78"/>
    <n v="3.27"/>
    <x v="34"/>
    <x v="1"/>
    <x v="0"/>
    <x v="1"/>
    <x v="0"/>
    <x v="0"/>
    <n v="8.89"/>
  </r>
  <r>
    <n v="24.06"/>
    <n v="3.6"/>
    <x v="35"/>
    <x v="1"/>
    <x v="0"/>
    <x v="1"/>
    <x v="0"/>
    <x v="1"/>
    <n v="8.02"/>
  </r>
  <r>
    <n v="16.309999999999999"/>
    <n v="2"/>
    <x v="36"/>
    <x v="1"/>
    <x v="0"/>
    <x v="1"/>
    <x v="0"/>
    <x v="1"/>
    <n v="5.4366666666666665"/>
  </r>
  <r>
    <n v="16.93"/>
    <n v="3.07"/>
    <x v="37"/>
    <x v="0"/>
    <x v="0"/>
    <x v="1"/>
    <x v="0"/>
    <x v="1"/>
    <n v="5.6433333333333335"/>
  </r>
  <r>
    <n v="18.690000000000001"/>
    <n v="2.31"/>
    <x v="38"/>
    <x v="1"/>
    <x v="0"/>
    <x v="1"/>
    <x v="0"/>
    <x v="1"/>
    <n v="6.23"/>
  </r>
  <r>
    <n v="31.27"/>
    <n v="5"/>
    <x v="39"/>
    <x v="1"/>
    <x v="0"/>
    <x v="1"/>
    <x v="0"/>
    <x v="1"/>
    <n v="10.423333333333334"/>
  </r>
  <r>
    <n v="16.04"/>
    <n v="2.2400000000000002"/>
    <x v="40"/>
    <x v="1"/>
    <x v="0"/>
    <x v="1"/>
    <x v="0"/>
    <x v="1"/>
    <n v="5.3466666666666667"/>
  </r>
  <r>
    <n v="17.46"/>
    <n v="2.54"/>
    <x v="41"/>
    <x v="1"/>
    <x v="0"/>
    <x v="0"/>
    <x v="0"/>
    <x v="0"/>
    <n v="8.73"/>
  </r>
  <r>
    <n v="13.94"/>
    <n v="3.06"/>
    <x v="42"/>
    <x v="1"/>
    <x v="0"/>
    <x v="0"/>
    <x v="0"/>
    <x v="0"/>
    <n v="6.97"/>
  </r>
  <r>
    <n v="9.68"/>
    <n v="1.32"/>
    <x v="43"/>
    <x v="1"/>
    <x v="0"/>
    <x v="0"/>
    <x v="0"/>
    <x v="0"/>
    <n v="4.84"/>
  </r>
  <r>
    <n v="30.4"/>
    <n v="5.6"/>
    <x v="44"/>
    <x v="1"/>
    <x v="0"/>
    <x v="0"/>
    <x v="0"/>
    <x v="2"/>
    <n v="7.6"/>
  </r>
  <r>
    <n v="18.29"/>
    <n v="3"/>
    <x v="45"/>
    <x v="1"/>
    <x v="0"/>
    <x v="0"/>
    <x v="0"/>
    <x v="0"/>
    <n v="9.1449999999999996"/>
  </r>
  <r>
    <n v="22.23"/>
    <n v="5"/>
    <x v="46"/>
    <x v="1"/>
    <x v="0"/>
    <x v="0"/>
    <x v="0"/>
    <x v="0"/>
    <n v="11.115"/>
  </r>
  <r>
    <n v="32.4"/>
    <n v="6"/>
    <x v="47"/>
    <x v="1"/>
    <x v="0"/>
    <x v="0"/>
    <x v="0"/>
    <x v="2"/>
    <n v="8.1"/>
  </r>
  <r>
    <n v="28.55"/>
    <n v="2.0499999999999998"/>
    <x v="48"/>
    <x v="1"/>
    <x v="0"/>
    <x v="0"/>
    <x v="0"/>
    <x v="1"/>
    <n v="9.5166666666666675"/>
  </r>
  <r>
    <n v="18.04"/>
    <n v="3"/>
    <x v="49"/>
    <x v="1"/>
    <x v="0"/>
    <x v="0"/>
    <x v="0"/>
    <x v="0"/>
    <n v="9.02"/>
  </r>
  <r>
    <n v="12.54"/>
    <n v="2.5"/>
    <x v="50"/>
    <x v="1"/>
    <x v="0"/>
    <x v="0"/>
    <x v="0"/>
    <x v="0"/>
    <n v="6.27"/>
  </r>
  <r>
    <n v="10.29"/>
    <n v="2.6"/>
    <x v="51"/>
    <x v="0"/>
    <x v="0"/>
    <x v="0"/>
    <x v="0"/>
    <x v="0"/>
    <n v="5.1449999999999996"/>
  </r>
  <r>
    <n v="34.81"/>
    <n v="5.2"/>
    <x v="52"/>
    <x v="0"/>
    <x v="0"/>
    <x v="0"/>
    <x v="0"/>
    <x v="2"/>
    <n v="8.7025000000000006"/>
  </r>
  <r>
    <n v="9.94"/>
    <n v="1.56"/>
    <x v="53"/>
    <x v="1"/>
    <x v="0"/>
    <x v="0"/>
    <x v="0"/>
    <x v="0"/>
    <n v="4.97"/>
  </r>
  <r>
    <n v="25.56"/>
    <n v="4.34"/>
    <x v="54"/>
    <x v="1"/>
    <x v="0"/>
    <x v="0"/>
    <x v="0"/>
    <x v="2"/>
    <n v="6.39"/>
  </r>
  <r>
    <n v="19.489999999999998"/>
    <n v="3.51"/>
    <x v="55"/>
    <x v="1"/>
    <x v="0"/>
    <x v="0"/>
    <x v="0"/>
    <x v="0"/>
    <n v="9.7449999999999992"/>
  </r>
  <r>
    <n v="38.01"/>
    <n v="3"/>
    <x v="56"/>
    <x v="1"/>
    <x v="1"/>
    <x v="1"/>
    <x v="0"/>
    <x v="2"/>
    <n v="9.5024999999999995"/>
  </r>
  <r>
    <n v="26.41"/>
    <n v="1.5"/>
    <x v="57"/>
    <x v="0"/>
    <x v="0"/>
    <x v="1"/>
    <x v="0"/>
    <x v="0"/>
    <n v="13.205"/>
  </r>
  <r>
    <n v="11.24"/>
    <n v="1.76"/>
    <x v="58"/>
    <x v="1"/>
    <x v="1"/>
    <x v="1"/>
    <x v="0"/>
    <x v="0"/>
    <n v="5.62"/>
  </r>
  <r>
    <n v="48.27"/>
    <n v="6.73"/>
    <x v="59"/>
    <x v="1"/>
    <x v="0"/>
    <x v="1"/>
    <x v="0"/>
    <x v="2"/>
    <n v="12.067500000000001"/>
  </r>
  <r>
    <n v="20.29"/>
    <n v="3.21"/>
    <x v="60"/>
    <x v="1"/>
    <x v="1"/>
    <x v="1"/>
    <x v="0"/>
    <x v="0"/>
    <n v="10.145"/>
  </r>
  <r>
    <n v="13.81"/>
    <n v="2"/>
    <x v="61"/>
    <x v="1"/>
    <x v="1"/>
    <x v="1"/>
    <x v="0"/>
    <x v="0"/>
    <n v="6.9050000000000002"/>
  </r>
  <r>
    <n v="11.02"/>
    <n v="1.98"/>
    <x v="62"/>
    <x v="1"/>
    <x v="1"/>
    <x v="1"/>
    <x v="0"/>
    <x v="0"/>
    <n v="5.51"/>
  </r>
  <r>
    <n v="18.29"/>
    <n v="3.76"/>
    <x v="63"/>
    <x v="1"/>
    <x v="1"/>
    <x v="1"/>
    <x v="0"/>
    <x v="2"/>
    <n v="4.5724999999999998"/>
  </r>
  <r>
    <n v="17.59"/>
    <n v="2.64"/>
    <x v="64"/>
    <x v="1"/>
    <x v="0"/>
    <x v="1"/>
    <x v="0"/>
    <x v="1"/>
    <n v="5.8633333333333333"/>
  </r>
  <r>
    <n v="20.079999999999998"/>
    <n v="3.15"/>
    <x v="65"/>
    <x v="1"/>
    <x v="0"/>
    <x v="1"/>
    <x v="0"/>
    <x v="1"/>
    <n v="6.6933333333333325"/>
  </r>
  <r>
    <n v="16.45"/>
    <n v="2.4700000000000002"/>
    <x v="66"/>
    <x v="0"/>
    <x v="0"/>
    <x v="1"/>
    <x v="0"/>
    <x v="0"/>
    <n v="8.2249999999999996"/>
  </r>
  <r>
    <n v="3.07"/>
    <n v="1"/>
    <x v="67"/>
    <x v="0"/>
    <x v="1"/>
    <x v="1"/>
    <x v="0"/>
    <x v="3"/>
    <n v="3.07"/>
  </r>
  <r>
    <n v="20.23"/>
    <n v="2.0099999999999998"/>
    <x v="68"/>
    <x v="1"/>
    <x v="0"/>
    <x v="1"/>
    <x v="0"/>
    <x v="0"/>
    <n v="10.115"/>
  </r>
  <r>
    <n v="15.01"/>
    <n v="2.09"/>
    <x v="69"/>
    <x v="1"/>
    <x v="1"/>
    <x v="1"/>
    <x v="0"/>
    <x v="0"/>
    <n v="7.5049999999999999"/>
  </r>
  <r>
    <n v="12.02"/>
    <n v="1.97"/>
    <x v="70"/>
    <x v="1"/>
    <x v="0"/>
    <x v="1"/>
    <x v="0"/>
    <x v="0"/>
    <n v="6.01"/>
  </r>
  <r>
    <n v="17.07"/>
    <n v="3"/>
    <x v="71"/>
    <x v="0"/>
    <x v="0"/>
    <x v="1"/>
    <x v="0"/>
    <x v="1"/>
    <n v="5.69"/>
  </r>
  <r>
    <n v="26.86"/>
    <n v="3.14"/>
    <x v="72"/>
    <x v="0"/>
    <x v="1"/>
    <x v="1"/>
    <x v="0"/>
    <x v="0"/>
    <n v="13.43"/>
  </r>
  <r>
    <n v="25.28"/>
    <n v="5"/>
    <x v="73"/>
    <x v="0"/>
    <x v="1"/>
    <x v="1"/>
    <x v="0"/>
    <x v="0"/>
    <n v="12.64"/>
  </r>
  <r>
    <n v="14.73"/>
    <n v="2.2000000000000002"/>
    <x v="74"/>
    <x v="0"/>
    <x v="0"/>
    <x v="1"/>
    <x v="0"/>
    <x v="0"/>
    <n v="7.3650000000000002"/>
  </r>
  <r>
    <n v="10.51"/>
    <n v="1.25"/>
    <x v="75"/>
    <x v="1"/>
    <x v="0"/>
    <x v="1"/>
    <x v="0"/>
    <x v="0"/>
    <n v="5.2549999999999999"/>
  </r>
  <r>
    <n v="17.920000000000002"/>
    <n v="3.08"/>
    <x v="76"/>
    <x v="1"/>
    <x v="1"/>
    <x v="1"/>
    <x v="0"/>
    <x v="0"/>
    <n v="8.9600000000000009"/>
  </r>
  <r>
    <n v="27.2"/>
    <n v="4"/>
    <x v="77"/>
    <x v="1"/>
    <x v="0"/>
    <x v="2"/>
    <x v="1"/>
    <x v="2"/>
    <n v="6.8"/>
  </r>
  <r>
    <n v="22.76"/>
    <n v="3"/>
    <x v="78"/>
    <x v="1"/>
    <x v="0"/>
    <x v="2"/>
    <x v="1"/>
    <x v="0"/>
    <n v="11.38"/>
  </r>
  <r>
    <n v="17.29"/>
    <n v="2.71"/>
    <x v="79"/>
    <x v="1"/>
    <x v="0"/>
    <x v="2"/>
    <x v="1"/>
    <x v="0"/>
    <n v="8.6449999999999996"/>
  </r>
  <r>
    <n v="19.440000000000001"/>
    <n v="3"/>
    <x v="80"/>
    <x v="1"/>
    <x v="1"/>
    <x v="2"/>
    <x v="1"/>
    <x v="0"/>
    <n v="9.7200000000000006"/>
  </r>
  <r>
    <n v="16.66"/>
    <n v="3.4"/>
    <x v="81"/>
    <x v="1"/>
    <x v="0"/>
    <x v="2"/>
    <x v="1"/>
    <x v="0"/>
    <n v="8.33"/>
  </r>
  <r>
    <n v="10.07"/>
    <n v="1.83"/>
    <x v="82"/>
    <x v="0"/>
    <x v="0"/>
    <x v="2"/>
    <x v="1"/>
    <x v="3"/>
    <n v="10.07"/>
  </r>
  <r>
    <n v="32.68"/>
    <n v="5"/>
    <x v="83"/>
    <x v="1"/>
    <x v="1"/>
    <x v="2"/>
    <x v="1"/>
    <x v="0"/>
    <n v="16.34"/>
  </r>
  <r>
    <n v="15.98"/>
    <n v="2.0299999999999998"/>
    <x v="84"/>
    <x v="1"/>
    <x v="0"/>
    <x v="2"/>
    <x v="1"/>
    <x v="0"/>
    <n v="7.99"/>
  </r>
  <r>
    <n v="34.83"/>
    <n v="5.17"/>
    <x v="85"/>
    <x v="0"/>
    <x v="0"/>
    <x v="2"/>
    <x v="1"/>
    <x v="2"/>
    <n v="8.7074999999999996"/>
  </r>
  <r>
    <n v="13.03"/>
    <n v="2"/>
    <x v="86"/>
    <x v="1"/>
    <x v="0"/>
    <x v="2"/>
    <x v="1"/>
    <x v="0"/>
    <n v="6.5149999999999997"/>
  </r>
  <r>
    <n v="18.28"/>
    <n v="4"/>
    <x v="87"/>
    <x v="1"/>
    <x v="0"/>
    <x v="2"/>
    <x v="1"/>
    <x v="0"/>
    <n v="9.14"/>
  </r>
  <r>
    <n v="24.71"/>
    <n v="5.85"/>
    <x v="88"/>
    <x v="1"/>
    <x v="0"/>
    <x v="2"/>
    <x v="1"/>
    <x v="0"/>
    <n v="12.355"/>
  </r>
  <r>
    <n v="21.16"/>
    <n v="3"/>
    <x v="89"/>
    <x v="1"/>
    <x v="0"/>
    <x v="2"/>
    <x v="1"/>
    <x v="0"/>
    <n v="10.58"/>
  </r>
  <r>
    <n v="28.97"/>
    <n v="3"/>
    <x v="90"/>
    <x v="1"/>
    <x v="1"/>
    <x v="3"/>
    <x v="0"/>
    <x v="0"/>
    <n v="14.484999999999999"/>
  </r>
  <r>
    <n v="22.49"/>
    <n v="3.5"/>
    <x v="91"/>
    <x v="1"/>
    <x v="0"/>
    <x v="3"/>
    <x v="0"/>
    <x v="0"/>
    <n v="11.244999999999999"/>
  </r>
  <r>
    <n v="5.75"/>
    <n v="1"/>
    <x v="92"/>
    <x v="0"/>
    <x v="1"/>
    <x v="3"/>
    <x v="0"/>
    <x v="0"/>
    <n v="2.875"/>
  </r>
  <r>
    <n v="16.32"/>
    <n v="4.3"/>
    <x v="93"/>
    <x v="0"/>
    <x v="1"/>
    <x v="3"/>
    <x v="0"/>
    <x v="0"/>
    <n v="8.16"/>
  </r>
  <r>
    <n v="22.75"/>
    <n v="3.25"/>
    <x v="94"/>
    <x v="0"/>
    <x v="0"/>
    <x v="3"/>
    <x v="0"/>
    <x v="0"/>
    <n v="11.375"/>
  </r>
  <r>
    <n v="40.17"/>
    <n v="4.7300000000000004"/>
    <x v="95"/>
    <x v="1"/>
    <x v="1"/>
    <x v="3"/>
    <x v="0"/>
    <x v="2"/>
    <n v="10.0425"/>
  </r>
  <r>
    <n v="27.28"/>
    <n v="4"/>
    <x v="96"/>
    <x v="1"/>
    <x v="1"/>
    <x v="3"/>
    <x v="0"/>
    <x v="0"/>
    <n v="13.64"/>
  </r>
  <r>
    <n v="12.03"/>
    <n v="1.5"/>
    <x v="97"/>
    <x v="1"/>
    <x v="1"/>
    <x v="3"/>
    <x v="0"/>
    <x v="0"/>
    <n v="6.0149999999999997"/>
  </r>
  <r>
    <n v="21.01"/>
    <n v="3"/>
    <x v="98"/>
    <x v="1"/>
    <x v="1"/>
    <x v="3"/>
    <x v="0"/>
    <x v="0"/>
    <n v="10.505000000000001"/>
  </r>
  <r>
    <n v="12.46"/>
    <n v="1.5"/>
    <x v="99"/>
    <x v="1"/>
    <x v="0"/>
    <x v="3"/>
    <x v="0"/>
    <x v="0"/>
    <n v="6.23"/>
  </r>
  <r>
    <n v="11.35"/>
    <n v="2.5"/>
    <x v="100"/>
    <x v="0"/>
    <x v="1"/>
    <x v="3"/>
    <x v="0"/>
    <x v="0"/>
    <n v="5.6749999999999998"/>
  </r>
  <r>
    <n v="15.38"/>
    <n v="3"/>
    <x v="101"/>
    <x v="0"/>
    <x v="1"/>
    <x v="3"/>
    <x v="0"/>
    <x v="0"/>
    <n v="7.69"/>
  </r>
  <r>
    <n v="44.3"/>
    <n v="2.5"/>
    <x v="102"/>
    <x v="0"/>
    <x v="1"/>
    <x v="1"/>
    <x v="0"/>
    <x v="1"/>
    <n v="14.766666666666666"/>
  </r>
  <r>
    <n v="22.42"/>
    <n v="3.48"/>
    <x v="103"/>
    <x v="0"/>
    <x v="1"/>
    <x v="1"/>
    <x v="0"/>
    <x v="0"/>
    <n v="11.21"/>
  </r>
  <r>
    <n v="20.92"/>
    <n v="4.08"/>
    <x v="104"/>
    <x v="0"/>
    <x v="0"/>
    <x v="1"/>
    <x v="0"/>
    <x v="0"/>
    <n v="10.46"/>
  </r>
  <r>
    <n v="15.36"/>
    <n v="1.64"/>
    <x v="105"/>
    <x v="1"/>
    <x v="1"/>
    <x v="1"/>
    <x v="0"/>
    <x v="0"/>
    <n v="7.68"/>
  </r>
  <r>
    <n v="20.49"/>
    <n v="4.0599999999999996"/>
    <x v="106"/>
    <x v="1"/>
    <x v="1"/>
    <x v="1"/>
    <x v="0"/>
    <x v="0"/>
    <n v="10.244999999999999"/>
  </r>
  <r>
    <n v="25.21"/>
    <n v="4.29"/>
    <x v="107"/>
    <x v="1"/>
    <x v="1"/>
    <x v="1"/>
    <x v="0"/>
    <x v="0"/>
    <n v="12.605"/>
  </r>
  <r>
    <n v="18.239999999999998"/>
    <n v="3.76"/>
    <x v="108"/>
    <x v="1"/>
    <x v="0"/>
    <x v="1"/>
    <x v="0"/>
    <x v="0"/>
    <n v="9.1199999999999992"/>
  </r>
  <r>
    <n v="14.31"/>
    <n v="4"/>
    <x v="109"/>
    <x v="0"/>
    <x v="1"/>
    <x v="1"/>
    <x v="0"/>
    <x v="0"/>
    <n v="7.1550000000000002"/>
  </r>
  <r>
    <n v="14"/>
    <n v="3"/>
    <x v="110"/>
    <x v="1"/>
    <x v="0"/>
    <x v="1"/>
    <x v="0"/>
    <x v="0"/>
    <n v="7"/>
  </r>
  <r>
    <n v="7.25"/>
    <n v="1"/>
    <x v="111"/>
    <x v="0"/>
    <x v="0"/>
    <x v="1"/>
    <x v="0"/>
    <x v="3"/>
    <n v="7.25"/>
  </r>
  <r>
    <n v="38.07"/>
    <n v="4"/>
    <x v="112"/>
    <x v="1"/>
    <x v="0"/>
    <x v="0"/>
    <x v="0"/>
    <x v="1"/>
    <n v="12.69"/>
  </r>
  <r>
    <n v="23.95"/>
    <n v="2.5499999999999998"/>
    <x v="113"/>
    <x v="1"/>
    <x v="0"/>
    <x v="0"/>
    <x v="0"/>
    <x v="0"/>
    <n v="11.975"/>
  </r>
  <r>
    <n v="25.71"/>
    <n v="4"/>
    <x v="114"/>
    <x v="0"/>
    <x v="0"/>
    <x v="0"/>
    <x v="0"/>
    <x v="1"/>
    <n v="8.57"/>
  </r>
  <r>
    <n v="17.309999999999999"/>
    <n v="3.5"/>
    <x v="115"/>
    <x v="0"/>
    <x v="0"/>
    <x v="0"/>
    <x v="0"/>
    <x v="0"/>
    <n v="8.6549999999999994"/>
  </r>
  <r>
    <n v="29.93"/>
    <n v="5.07"/>
    <x v="116"/>
    <x v="1"/>
    <x v="0"/>
    <x v="0"/>
    <x v="0"/>
    <x v="2"/>
    <n v="7.4824999999999999"/>
  </r>
  <r>
    <n v="10.65"/>
    <n v="1.5"/>
    <x v="117"/>
    <x v="0"/>
    <x v="0"/>
    <x v="2"/>
    <x v="1"/>
    <x v="0"/>
    <n v="5.3250000000000002"/>
  </r>
  <r>
    <n v="12.43"/>
    <n v="1.8"/>
    <x v="118"/>
    <x v="0"/>
    <x v="0"/>
    <x v="2"/>
    <x v="1"/>
    <x v="0"/>
    <n v="6.2149999999999999"/>
  </r>
  <r>
    <n v="24.08"/>
    <n v="2.92"/>
    <x v="119"/>
    <x v="0"/>
    <x v="0"/>
    <x v="2"/>
    <x v="1"/>
    <x v="2"/>
    <n v="6.02"/>
  </r>
  <r>
    <n v="11.69"/>
    <n v="2.31"/>
    <x v="120"/>
    <x v="1"/>
    <x v="0"/>
    <x v="2"/>
    <x v="1"/>
    <x v="0"/>
    <n v="5.8449999999999998"/>
  </r>
  <r>
    <n v="13.42"/>
    <n v="1.68"/>
    <x v="121"/>
    <x v="0"/>
    <x v="0"/>
    <x v="2"/>
    <x v="1"/>
    <x v="0"/>
    <n v="6.71"/>
  </r>
  <r>
    <n v="14.26"/>
    <n v="2.5"/>
    <x v="122"/>
    <x v="1"/>
    <x v="0"/>
    <x v="2"/>
    <x v="1"/>
    <x v="0"/>
    <n v="7.13"/>
  </r>
  <r>
    <n v="15.95"/>
    <n v="2"/>
    <x v="123"/>
    <x v="1"/>
    <x v="0"/>
    <x v="2"/>
    <x v="1"/>
    <x v="0"/>
    <n v="7.9749999999999996"/>
  </r>
  <r>
    <n v="12.48"/>
    <n v="2.52"/>
    <x v="124"/>
    <x v="0"/>
    <x v="0"/>
    <x v="2"/>
    <x v="1"/>
    <x v="0"/>
    <n v="6.24"/>
  </r>
  <r>
    <n v="29.8"/>
    <n v="4.2"/>
    <x v="125"/>
    <x v="0"/>
    <x v="0"/>
    <x v="2"/>
    <x v="1"/>
    <x v="4"/>
    <n v="4.9666666666666668"/>
  </r>
  <r>
    <n v="8.52"/>
    <n v="1.48"/>
    <x v="126"/>
    <x v="1"/>
    <x v="0"/>
    <x v="2"/>
    <x v="1"/>
    <x v="0"/>
    <n v="4.26"/>
  </r>
  <r>
    <n v="14.52"/>
    <n v="2"/>
    <x v="127"/>
    <x v="0"/>
    <x v="0"/>
    <x v="2"/>
    <x v="1"/>
    <x v="0"/>
    <n v="7.26"/>
  </r>
  <r>
    <n v="11.38"/>
    <n v="2"/>
    <x v="128"/>
    <x v="0"/>
    <x v="0"/>
    <x v="2"/>
    <x v="1"/>
    <x v="0"/>
    <n v="5.69"/>
  </r>
  <r>
    <n v="22.82"/>
    <n v="2.1800000000000002"/>
    <x v="129"/>
    <x v="1"/>
    <x v="0"/>
    <x v="2"/>
    <x v="1"/>
    <x v="1"/>
    <n v="7.6066666666666665"/>
  </r>
  <r>
    <n v="19.079999999999998"/>
    <n v="1.5"/>
    <x v="130"/>
    <x v="1"/>
    <x v="0"/>
    <x v="2"/>
    <x v="1"/>
    <x v="0"/>
    <n v="9.5399999999999991"/>
  </r>
  <r>
    <n v="20.27"/>
    <n v="2.83"/>
    <x v="131"/>
    <x v="0"/>
    <x v="0"/>
    <x v="2"/>
    <x v="1"/>
    <x v="0"/>
    <n v="10.135"/>
  </r>
  <r>
    <n v="11.17"/>
    <n v="1.5"/>
    <x v="132"/>
    <x v="0"/>
    <x v="0"/>
    <x v="2"/>
    <x v="1"/>
    <x v="0"/>
    <n v="5.585"/>
  </r>
  <r>
    <n v="12.26"/>
    <n v="2"/>
    <x v="133"/>
    <x v="0"/>
    <x v="0"/>
    <x v="2"/>
    <x v="1"/>
    <x v="0"/>
    <n v="6.13"/>
  </r>
  <r>
    <n v="18.260000000000002"/>
    <n v="3.25"/>
    <x v="134"/>
    <x v="0"/>
    <x v="0"/>
    <x v="2"/>
    <x v="1"/>
    <x v="0"/>
    <n v="9.1300000000000008"/>
  </r>
  <r>
    <n v="8.51"/>
    <n v="1.25"/>
    <x v="135"/>
    <x v="0"/>
    <x v="0"/>
    <x v="2"/>
    <x v="1"/>
    <x v="0"/>
    <n v="4.2549999999999999"/>
  </r>
  <r>
    <n v="10.33"/>
    <n v="2"/>
    <x v="136"/>
    <x v="0"/>
    <x v="0"/>
    <x v="2"/>
    <x v="1"/>
    <x v="0"/>
    <n v="5.165"/>
  </r>
  <r>
    <n v="14.15"/>
    <n v="2"/>
    <x v="137"/>
    <x v="0"/>
    <x v="0"/>
    <x v="2"/>
    <x v="1"/>
    <x v="0"/>
    <n v="7.0750000000000002"/>
  </r>
  <r>
    <n v="16"/>
    <n v="2"/>
    <x v="138"/>
    <x v="1"/>
    <x v="1"/>
    <x v="2"/>
    <x v="1"/>
    <x v="0"/>
    <n v="8"/>
  </r>
  <r>
    <n v="13.16"/>
    <n v="2.75"/>
    <x v="139"/>
    <x v="0"/>
    <x v="0"/>
    <x v="2"/>
    <x v="1"/>
    <x v="0"/>
    <n v="6.58"/>
  </r>
  <r>
    <n v="17.47"/>
    <n v="3.5"/>
    <x v="140"/>
    <x v="0"/>
    <x v="0"/>
    <x v="2"/>
    <x v="1"/>
    <x v="0"/>
    <n v="8.7349999999999994"/>
  </r>
  <r>
    <n v="34.299999999999997"/>
    <n v="6.7"/>
    <x v="141"/>
    <x v="1"/>
    <x v="0"/>
    <x v="2"/>
    <x v="1"/>
    <x v="4"/>
    <n v="5.7166666666666659"/>
  </r>
  <r>
    <n v="41.19"/>
    <n v="5"/>
    <x v="142"/>
    <x v="1"/>
    <x v="0"/>
    <x v="2"/>
    <x v="1"/>
    <x v="5"/>
    <n v="8.2379999999999995"/>
  </r>
  <r>
    <n v="27.05"/>
    <n v="5"/>
    <x v="143"/>
    <x v="0"/>
    <x v="0"/>
    <x v="2"/>
    <x v="1"/>
    <x v="4"/>
    <n v="4.5083333333333337"/>
  </r>
  <r>
    <n v="16.43"/>
    <n v="2.2999999999999998"/>
    <x v="144"/>
    <x v="0"/>
    <x v="0"/>
    <x v="2"/>
    <x v="1"/>
    <x v="0"/>
    <n v="8.2149999999999999"/>
  </r>
  <r>
    <n v="8.35"/>
    <n v="1.5"/>
    <x v="145"/>
    <x v="0"/>
    <x v="0"/>
    <x v="2"/>
    <x v="1"/>
    <x v="0"/>
    <n v="4.1749999999999998"/>
  </r>
  <r>
    <n v="18.64"/>
    <n v="1.36"/>
    <x v="146"/>
    <x v="0"/>
    <x v="0"/>
    <x v="2"/>
    <x v="1"/>
    <x v="1"/>
    <n v="6.2133333333333338"/>
  </r>
  <r>
    <n v="11.87"/>
    <n v="1.63"/>
    <x v="147"/>
    <x v="0"/>
    <x v="0"/>
    <x v="2"/>
    <x v="1"/>
    <x v="0"/>
    <n v="5.9349999999999996"/>
  </r>
  <r>
    <n v="9.7799999999999994"/>
    <n v="1.73"/>
    <x v="148"/>
    <x v="1"/>
    <x v="0"/>
    <x v="2"/>
    <x v="1"/>
    <x v="0"/>
    <n v="4.8899999999999997"/>
  </r>
  <r>
    <n v="7.51"/>
    <n v="2"/>
    <x v="149"/>
    <x v="1"/>
    <x v="0"/>
    <x v="2"/>
    <x v="1"/>
    <x v="0"/>
    <n v="3.7549999999999999"/>
  </r>
  <r>
    <n v="14.07"/>
    <n v="2.5"/>
    <x v="150"/>
    <x v="1"/>
    <x v="0"/>
    <x v="0"/>
    <x v="0"/>
    <x v="0"/>
    <n v="7.0350000000000001"/>
  </r>
  <r>
    <n v="13.13"/>
    <n v="2"/>
    <x v="151"/>
    <x v="1"/>
    <x v="0"/>
    <x v="0"/>
    <x v="0"/>
    <x v="0"/>
    <n v="6.5650000000000004"/>
  </r>
  <r>
    <n v="17.260000000000002"/>
    <n v="2.74"/>
    <x v="152"/>
    <x v="1"/>
    <x v="0"/>
    <x v="0"/>
    <x v="0"/>
    <x v="1"/>
    <n v="5.7533333333333339"/>
  </r>
  <r>
    <n v="24.55"/>
    <n v="2"/>
    <x v="153"/>
    <x v="1"/>
    <x v="0"/>
    <x v="0"/>
    <x v="0"/>
    <x v="2"/>
    <n v="6.1375000000000002"/>
  </r>
  <r>
    <n v="19.77"/>
    <n v="2"/>
    <x v="154"/>
    <x v="1"/>
    <x v="0"/>
    <x v="0"/>
    <x v="0"/>
    <x v="2"/>
    <n v="4.9424999999999999"/>
  </r>
  <r>
    <n v="29.85"/>
    <n v="5.14"/>
    <x v="155"/>
    <x v="0"/>
    <x v="0"/>
    <x v="0"/>
    <x v="0"/>
    <x v="5"/>
    <n v="5.9700000000000006"/>
  </r>
  <r>
    <n v="48.17"/>
    <n v="5"/>
    <x v="156"/>
    <x v="1"/>
    <x v="0"/>
    <x v="0"/>
    <x v="0"/>
    <x v="4"/>
    <n v="8.0283333333333342"/>
  </r>
  <r>
    <n v="25"/>
    <n v="3.75"/>
    <x v="157"/>
    <x v="0"/>
    <x v="0"/>
    <x v="0"/>
    <x v="0"/>
    <x v="2"/>
    <n v="6.25"/>
  </r>
  <r>
    <n v="13.39"/>
    <n v="2.61"/>
    <x v="158"/>
    <x v="0"/>
    <x v="0"/>
    <x v="0"/>
    <x v="0"/>
    <x v="0"/>
    <n v="6.6950000000000003"/>
  </r>
  <r>
    <n v="16.489999999999998"/>
    <n v="2"/>
    <x v="159"/>
    <x v="1"/>
    <x v="0"/>
    <x v="0"/>
    <x v="0"/>
    <x v="2"/>
    <n v="4.1224999999999996"/>
  </r>
  <r>
    <n v="21.5"/>
    <n v="3.5"/>
    <x v="160"/>
    <x v="1"/>
    <x v="0"/>
    <x v="0"/>
    <x v="0"/>
    <x v="2"/>
    <n v="5.375"/>
  </r>
  <r>
    <n v="12.66"/>
    <n v="2.5"/>
    <x v="161"/>
    <x v="1"/>
    <x v="0"/>
    <x v="0"/>
    <x v="0"/>
    <x v="0"/>
    <n v="6.33"/>
  </r>
  <r>
    <n v="16.21"/>
    <n v="2"/>
    <x v="162"/>
    <x v="0"/>
    <x v="0"/>
    <x v="0"/>
    <x v="0"/>
    <x v="1"/>
    <n v="5.4033333333333333"/>
  </r>
  <r>
    <n v="13.81"/>
    <n v="2"/>
    <x v="61"/>
    <x v="1"/>
    <x v="0"/>
    <x v="0"/>
    <x v="0"/>
    <x v="0"/>
    <n v="6.9050000000000002"/>
  </r>
  <r>
    <n v="17.510000000000002"/>
    <n v="3"/>
    <x v="163"/>
    <x v="0"/>
    <x v="1"/>
    <x v="0"/>
    <x v="0"/>
    <x v="0"/>
    <n v="8.7550000000000008"/>
  </r>
  <r>
    <n v="24.52"/>
    <n v="3.48"/>
    <x v="164"/>
    <x v="1"/>
    <x v="0"/>
    <x v="0"/>
    <x v="0"/>
    <x v="1"/>
    <n v="8.1733333333333338"/>
  </r>
  <r>
    <n v="20.76"/>
    <n v="2.2400000000000002"/>
    <x v="165"/>
    <x v="1"/>
    <x v="0"/>
    <x v="0"/>
    <x v="0"/>
    <x v="0"/>
    <n v="10.38"/>
  </r>
  <r>
    <n v="31.71"/>
    <n v="4.5"/>
    <x v="166"/>
    <x v="1"/>
    <x v="0"/>
    <x v="0"/>
    <x v="0"/>
    <x v="2"/>
    <n v="7.9275000000000002"/>
  </r>
  <r>
    <n v="10.59"/>
    <n v="1.61"/>
    <x v="167"/>
    <x v="0"/>
    <x v="1"/>
    <x v="1"/>
    <x v="0"/>
    <x v="0"/>
    <n v="5.2949999999999999"/>
  </r>
  <r>
    <n v="10.63"/>
    <n v="2"/>
    <x v="168"/>
    <x v="0"/>
    <x v="1"/>
    <x v="1"/>
    <x v="0"/>
    <x v="0"/>
    <n v="5.3150000000000004"/>
  </r>
  <r>
    <n v="50.81"/>
    <n v="10"/>
    <x v="169"/>
    <x v="1"/>
    <x v="1"/>
    <x v="1"/>
    <x v="0"/>
    <x v="1"/>
    <n v="16.936666666666667"/>
  </r>
  <r>
    <n v="15.81"/>
    <n v="3.16"/>
    <x v="170"/>
    <x v="1"/>
    <x v="1"/>
    <x v="1"/>
    <x v="0"/>
    <x v="0"/>
    <n v="7.9050000000000002"/>
  </r>
  <r>
    <n v="7.25"/>
    <n v="5.15"/>
    <x v="171"/>
    <x v="1"/>
    <x v="1"/>
    <x v="0"/>
    <x v="0"/>
    <x v="0"/>
    <n v="3.625"/>
  </r>
  <r>
    <n v="31.85"/>
    <n v="3.18"/>
    <x v="172"/>
    <x v="1"/>
    <x v="1"/>
    <x v="0"/>
    <x v="0"/>
    <x v="0"/>
    <n v="15.925000000000001"/>
  </r>
  <r>
    <n v="16.82"/>
    <n v="4"/>
    <x v="173"/>
    <x v="1"/>
    <x v="1"/>
    <x v="0"/>
    <x v="0"/>
    <x v="0"/>
    <n v="8.41"/>
  </r>
  <r>
    <n v="32.9"/>
    <n v="3.11"/>
    <x v="174"/>
    <x v="1"/>
    <x v="1"/>
    <x v="0"/>
    <x v="0"/>
    <x v="0"/>
    <n v="16.45"/>
  </r>
  <r>
    <n v="17.89"/>
    <n v="2"/>
    <x v="175"/>
    <x v="1"/>
    <x v="1"/>
    <x v="0"/>
    <x v="0"/>
    <x v="0"/>
    <n v="8.9450000000000003"/>
  </r>
  <r>
    <n v="14.48"/>
    <n v="2"/>
    <x v="176"/>
    <x v="1"/>
    <x v="1"/>
    <x v="0"/>
    <x v="0"/>
    <x v="0"/>
    <n v="7.24"/>
  </r>
  <r>
    <n v="9.6"/>
    <n v="4"/>
    <x v="177"/>
    <x v="0"/>
    <x v="1"/>
    <x v="0"/>
    <x v="0"/>
    <x v="0"/>
    <n v="4.8"/>
  </r>
  <r>
    <n v="34.630000000000003"/>
    <n v="3.55"/>
    <x v="178"/>
    <x v="1"/>
    <x v="1"/>
    <x v="0"/>
    <x v="0"/>
    <x v="0"/>
    <n v="17.315000000000001"/>
  </r>
  <r>
    <n v="34.65"/>
    <n v="3.68"/>
    <x v="179"/>
    <x v="1"/>
    <x v="1"/>
    <x v="0"/>
    <x v="0"/>
    <x v="2"/>
    <n v="8.6624999999999996"/>
  </r>
  <r>
    <n v="23.33"/>
    <n v="5.65"/>
    <x v="180"/>
    <x v="1"/>
    <x v="1"/>
    <x v="0"/>
    <x v="0"/>
    <x v="0"/>
    <n v="11.664999999999999"/>
  </r>
  <r>
    <n v="45.35"/>
    <n v="3.5"/>
    <x v="181"/>
    <x v="1"/>
    <x v="1"/>
    <x v="0"/>
    <x v="0"/>
    <x v="1"/>
    <n v="15.116666666666667"/>
  </r>
  <r>
    <n v="23.17"/>
    <n v="6.5"/>
    <x v="182"/>
    <x v="1"/>
    <x v="1"/>
    <x v="0"/>
    <x v="0"/>
    <x v="2"/>
    <n v="5.7925000000000004"/>
  </r>
  <r>
    <n v="40.549999999999997"/>
    <n v="3"/>
    <x v="183"/>
    <x v="1"/>
    <x v="1"/>
    <x v="0"/>
    <x v="0"/>
    <x v="0"/>
    <n v="20.274999999999999"/>
  </r>
  <r>
    <n v="20.69"/>
    <n v="5"/>
    <x v="184"/>
    <x v="1"/>
    <x v="0"/>
    <x v="0"/>
    <x v="0"/>
    <x v="5"/>
    <n v="4.1379999999999999"/>
  </r>
  <r>
    <n v="20.9"/>
    <n v="3.5"/>
    <x v="185"/>
    <x v="0"/>
    <x v="1"/>
    <x v="0"/>
    <x v="0"/>
    <x v="1"/>
    <n v="6.9666666666666659"/>
  </r>
  <r>
    <n v="30.46"/>
    <n v="2"/>
    <x v="186"/>
    <x v="1"/>
    <x v="1"/>
    <x v="0"/>
    <x v="0"/>
    <x v="5"/>
    <n v="6.0920000000000005"/>
  </r>
  <r>
    <n v="18.149999999999999"/>
    <n v="3.5"/>
    <x v="187"/>
    <x v="0"/>
    <x v="1"/>
    <x v="0"/>
    <x v="0"/>
    <x v="1"/>
    <n v="6.05"/>
  </r>
  <r>
    <n v="23.1"/>
    <n v="4"/>
    <x v="188"/>
    <x v="1"/>
    <x v="1"/>
    <x v="0"/>
    <x v="0"/>
    <x v="1"/>
    <n v="7.7"/>
  </r>
  <r>
    <n v="15.69"/>
    <n v="1.5"/>
    <x v="189"/>
    <x v="1"/>
    <x v="1"/>
    <x v="0"/>
    <x v="0"/>
    <x v="0"/>
    <n v="7.8449999999999998"/>
  </r>
  <r>
    <n v="19.809999999999999"/>
    <n v="4.1900000000000004"/>
    <x v="190"/>
    <x v="0"/>
    <x v="1"/>
    <x v="2"/>
    <x v="1"/>
    <x v="0"/>
    <n v="9.9049999999999994"/>
  </r>
  <r>
    <n v="28.44"/>
    <n v="2.56"/>
    <x v="191"/>
    <x v="1"/>
    <x v="1"/>
    <x v="2"/>
    <x v="1"/>
    <x v="0"/>
    <n v="14.22"/>
  </r>
  <r>
    <n v="15.48"/>
    <n v="2.02"/>
    <x v="192"/>
    <x v="1"/>
    <x v="1"/>
    <x v="2"/>
    <x v="1"/>
    <x v="0"/>
    <n v="7.74"/>
  </r>
  <r>
    <n v="16.579999999999998"/>
    <n v="4"/>
    <x v="193"/>
    <x v="1"/>
    <x v="1"/>
    <x v="2"/>
    <x v="1"/>
    <x v="0"/>
    <n v="8.2899999999999991"/>
  </r>
  <r>
    <n v="7.56"/>
    <n v="1.44"/>
    <x v="194"/>
    <x v="1"/>
    <x v="0"/>
    <x v="2"/>
    <x v="1"/>
    <x v="0"/>
    <n v="3.78"/>
  </r>
  <r>
    <n v="10.34"/>
    <n v="2"/>
    <x v="195"/>
    <x v="1"/>
    <x v="1"/>
    <x v="2"/>
    <x v="1"/>
    <x v="0"/>
    <n v="5.17"/>
  </r>
  <r>
    <n v="43.11"/>
    <n v="5"/>
    <x v="196"/>
    <x v="0"/>
    <x v="1"/>
    <x v="2"/>
    <x v="1"/>
    <x v="2"/>
    <n v="10.7775"/>
  </r>
  <r>
    <n v="13"/>
    <n v="2"/>
    <x v="197"/>
    <x v="0"/>
    <x v="1"/>
    <x v="2"/>
    <x v="1"/>
    <x v="0"/>
    <n v="6.5"/>
  </r>
  <r>
    <n v="13.51"/>
    <n v="2"/>
    <x v="198"/>
    <x v="1"/>
    <x v="1"/>
    <x v="2"/>
    <x v="1"/>
    <x v="0"/>
    <n v="6.7549999999999999"/>
  </r>
  <r>
    <n v="18.71"/>
    <n v="4"/>
    <x v="199"/>
    <x v="1"/>
    <x v="1"/>
    <x v="2"/>
    <x v="1"/>
    <x v="1"/>
    <n v="6.2366666666666672"/>
  </r>
  <r>
    <n v="12.74"/>
    <n v="2.0099999999999998"/>
    <x v="200"/>
    <x v="0"/>
    <x v="1"/>
    <x v="2"/>
    <x v="1"/>
    <x v="0"/>
    <n v="6.37"/>
  </r>
  <r>
    <n v="13"/>
    <n v="2"/>
    <x v="197"/>
    <x v="0"/>
    <x v="1"/>
    <x v="2"/>
    <x v="1"/>
    <x v="0"/>
    <n v="6.5"/>
  </r>
  <r>
    <n v="16.399999999999999"/>
    <n v="2.5"/>
    <x v="201"/>
    <x v="0"/>
    <x v="1"/>
    <x v="2"/>
    <x v="1"/>
    <x v="0"/>
    <n v="8.1999999999999993"/>
  </r>
  <r>
    <n v="20.53"/>
    <n v="4"/>
    <x v="202"/>
    <x v="1"/>
    <x v="1"/>
    <x v="2"/>
    <x v="1"/>
    <x v="2"/>
    <n v="5.1325000000000003"/>
  </r>
  <r>
    <n v="16.47"/>
    <n v="3.23"/>
    <x v="203"/>
    <x v="0"/>
    <x v="1"/>
    <x v="2"/>
    <x v="1"/>
    <x v="1"/>
    <n v="5.4899999999999993"/>
  </r>
  <r>
    <n v="26.59"/>
    <n v="3.41"/>
    <x v="204"/>
    <x v="1"/>
    <x v="1"/>
    <x v="1"/>
    <x v="0"/>
    <x v="1"/>
    <n v="8.8633333333333333"/>
  </r>
  <r>
    <n v="38.729999999999997"/>
    <n v="3"/>
    <x v="205"/>
    <x v="1"/>
    <x v="1"/>
    <x v="1"/>
    <x v="0"/>
    <x v="2"/>
    <n v="9.6824999999999992"/>
  </r>
  <r>
    <n v="24.27"/>
    <n v="2.0299999999999998"/>
    <x v="206"/>
    <x v="1"/>
    <x v="1"/>
    <x v="1"/>
    <x v="0"/>
    <x v="0"/>
    <n v="12.135"/>
  </r>
  <r>
    <n v="12.76"/>
    <n v="2.23"/>
    <x v="207"/>
    <x v="0"/>
    <x v="1"/>
    <x v="1"/>
    <x v="0"/>
    <x v="0"/>
    <n v="6.38"/>
  </r>
  <r>
    <n v="30.06"/>
    <n v="2"/>
    <x v="208"/>
    <x v="1"/>
    <x v="1"/>
    <x v="1"/>
    <x v="0"/>
    <x v="1"/>
    <n v="10.02"/>
  </r>
  <r>
    <n v="25.89"/>
    <n v="5.16"/>
    <x v="209"/>
    <x v="1"/>
    <x v="1"/>
    <x v="1"/>
    <x v="0"/>
    <x v="2"/>
    <n v="6.4725000000000001"/>
  </r>
  <r>
    <n v="48.33"/>
    <n v="9"/>
    <x v="210"/>
    <x v="1"/>
    <x v="0"/>
    <x v="1"/>
    <x v="0"/>
    <x v="2"/>
    <n v="12.0825"/>
  </r>
  <r>
    <n v="13.27"/>
    <n v="2.5"/>
    <x v="211"/>
    <x v="0"/>
    <x v="1"/>
    <x v="1"/>
    <x v="0"/>
    <x v="0"/>
    <n v="6.6349999999999998"/>
  </r>
  <r>
    <n v="28.17"/>
    <n v="6.5"/>
    <x v="212"/>
    <x v="0"/>
    <x v="1"/>
    <x v="1"/>
    <x v="0"/>
    <x v="1"/>
    <n v="9.39"/>
  </r>
  <r>
    <n v="12.9"/>
    <n v="1.1000000000000001"/>
    <x v="213"/>
    <x v="0"/>
    <x v="1"/>
    <x v="1"/>
    <x v="0"/>
    <x v="0"/>
    <n v="6.45"/>
  </r>
  <r>
    <n v="28.15"/>
    <n v="3"/>
    <x v="214"/>
    <x v="1"/>
    <x v="1"/>
    <x v="1"/>
    <x v="0"/>
    <x v="5"/>
    <n v="5.63"/>
  </r>
  <r>
    <n v="11.59"/>
    <n v="1.5"/>
    <x v="215"/>
    <x v="1"/>
    <x v="1"/>
    <x v="1"/>
    <x v="0"/>
    <x v="0"/>
    <n v="5.7949999999999999"/>
  </r>
  <r>
    <n v="7.74"/>
    <n v="1.44"/>
    <x v="216"/>
    <x v="1"/>
    <x v="1"/>
    <x v="1"/>
    <x v="0"/>
    <x v="0"/>
    <n v="3.87"/>
  </r>
  <r>
    <n v="30.14"/>
    <n v="3.09"/>
    <x v="217"/>
    <x v="0"/>
    <x v="1"/>
    <x v="1"/>
    <x v="0"/>
    <x v="2"/>
    <n v="7.5350000000000001"/>
  </r>
  <r>
    <n v="12.16"/>
    <n v="2.2000000000000002"/>
    <x v="218"/>
    <x v="1"/>
    <x v="1"/>
    <x v="3"/>
    <x v="1"/>
    <x v="0"/>
    <n v="6.08"/>
  </r>
  <r>
    <n v="13.42"/>
    <n v="3.48"/>
    <x v="219"/>
    <x v="0"/>
    <x v="1"/>
    <x v="3"/>
    <x v="1"/>
    <x v="0"/>
    <n v="6.71"/>
  </r>
  <r>
    <n v="8.58"/>
    <n v="1.92"/>
    <x v="220"/>
    <x v="1"/>
    <x v="1"/>
    <x v="3"/>
    <x v="1"/>
    <x v="3"/>
    <n v="8.58"/>
  </r>
  <r>
    <n v="15.98"/>
    <n v="3"/>
    <x v="221"/>
    <x v="0"/>
    <x v="0"/>
    <x v="3"/>
    <x v="1"/>
    <x v="1"/>
    <n v="5.3266666666666671"/>
  </r>
  <r>
    <n v="13.42"/>
    <n v="1.58"/>
    <x v="222"/>
    <x v="1"/>
    <x v="1"/>
    <x v="3"/>
    <x v="1"/>
    <x v="0"/>
    <n v="6.71"/>
  </r>
  <r>
    <n v="16.27"/>
    <n v="2.5"/>
    <x v="223"/>
    <x v="0"/>
    <x v="1"/>
    <x v="3"/>
    <x v="1"/>
    <x v="0"/>
    <n v="8.1349999999999998"/>
  </r>
  <r>
    <n v="10.09"/>
    <n v="2"/>
    <x v="224"/>
    <x v="0"/>
    <x v="1"/>
    <x v="3"/>
    <x v="1"/>
    <x v="0"/>
    <n v="5.0449999999999999"/>
  </r>
  <r>
    <n v="20.45"/>
    <n v="3"/>
    <x v="225"/>
    <x v="1"/>
    <x v="0"/>
    <x v="1"/>
    <x v="0"/>
    <x v="2"/>
    <n v="5.1124999999999998"/>
  </r>
  <r>
    <n v="13.28"/>
    <n v="2.72"/>
    <x v="226"/>
    <x v="1"/>
    <x v="0"/>
    <x v="1"/>
    <x v="0"/>
    <x v="0"/>
    <n v="6.64"/>
  </r>
  <r>
    <n v="22.12"/>
    <n v="2.88"/>
    <x v="227"/>
    <x v="0"/>
    <x v="1"/>
    <x v="1"/>
    <x v="0"/>
    <x v="0"/>
    <n v="11.06"/>
  </r>
  <r>
    <n v="24.01"/>
    <n v="2"/>
    <x v="228"/>
    <x v="1"/>
    <x v="1"/>
    <x v="1"/>
    <x v="0"/>
    <x v="2"/>
    <n v="6.0025000000000004"/>
  </r>
  <r>
    <n v="15.69"/>
    <n v="3"/>
    <x v="229"/>
    <x v="1"/>
    <x v="1"/>
    <x v="1"/>
    <x v="0"/>
    <x v="1"/>
    <n v="5.2299999999999995"/>
  </r>
  <r>
    <n v="11.61"/>
    <n v="3.39"/>
    <x v="230"/>
    <x v="1"/>
    <x v="0"/>
    <x v="1"/>
    <x v="0"/>
    <x v="0"/>
    <n v="5.8049999999999997"/>
  </r>
  <r>
    <n v="10.77"/>
    <n v="1.47"/>
    <x v="231"/>
    <x v="1"/>
    <x v="0"/>
    <x v="1"/>
    <x v="0"/>
    <x v="0"/>
    <n v="5.3849999999999998"/>
  </r>
  <r>
    <n v="15.53"/>
    <n v="3"/>
    <x v="232"/>
    <x v="1"/>
    <x v="1"/>
    <x v="1"/>
    <x v="0"/>
    <x v="0"/>
    <n v="7.7649999999999997"/>
  </r>
  <r>
    <n v="10.07"/>
    <n v="1.25"/>
    <x v="233"/>
    <x v="1"/>
    <x v="0"/>
    <x v="1"/>
    <x v="0"/>
    <x v="0"/>
    <n v="5.0350000000000001"/>
  </r>
  <r>
    <n v="12.6"/>
    <n v="1"/>
    <x v="234"/>
    <x v="1"/>
    <x v="1"/>
    <x v="1"/>
    <x v="0"/>
    <x v="0"/>
    <n v="6.3"/>
  </r>
  <r>
    <n v="32.83"/>
    <n v="1.17"/>
    <x v="235"/>
    <x v="1"/>
    <x v="1"/>
    <x v="1"/>
    <x v="0"/>
    <x v="0"/>
    <n v="16.414999999999999"/>
  </r>
  <r>
    <n v="35.83"/>
    <n v="4.67"/>
    <x v="236"/>
    <x v="0"/>
    <x v="0"/>
    <x v="1"/>
    <x v="0"/>
    <x v="1"/>
    <n v="11.943333333333333"/>
  </r>
  <r>
    <n v="29.03"/>
    <n v="5.92"/>
    <x v="237"/>
    <x v="1"/>
    <x v="0"/>
    <x v="1"/>
    <x v="0"/>
    <x v="1"/>
    <n v="9.6766666666666676"/>
  </r>
  <r>
    <n v="27.18"/>
    <n v="2"/>
    <x v="238"/>
    <x v="0"/>
    <x v="1"/>
    <x v="1"/>
    <x v="0"/>
    <x v="0"/>
    <n v="13.59"/>
  </r>
  <r>
    <n v="22.67"/>
    <n v="2"/>
    <x v="239"/>
    <x v="1"/>
    <x v="1"/>
    <x v="1"/>
    <x v="0"/>
    <x v="0"/>
    <n v="11.335000000000001"/>
  </r>
  <r>
    <n v="17.82"/>
    <n v="1.75"/>
    <x v="240"/>
    <x v="1"/>
    <x v="0"/>
    <x v="1"/>
    <x v="0"/>
    <x v="0"/>
    <n v="8.91"/>
  </r>
  <r>
    <n v="18.78"/>
    <n v="3"/>
    <x v="241"/>
    <x v="0"/>
    <x v="0"/>
    <x v="2"/>
    <x v="0"/>
    <x v="0"/>
    <n v="9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B1AC0-2A3B-4E4D-8ED3-5B9F9E51FA0C}" name="TablaDinámica19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2" rowHeaderCaption="Smoker">
  <location ref="K29:L35" firstHeaderRow="1" firstDataRow="1" firstDataCol="1"/>
  <pivotFields count="9">
    <pivotField numFmtId="8" showAll="0"/>
    <pivotField numFmtId="8" showAll="0"/>
    <pivotField dataField="1" numFmtId="9" showAll="0">
      <items count="243">
        <item x="235"/>
        <item x="102"/>
        <item x="57"/>
        <item x="0"/>
        <item x="186"/>
        <item x="208"/>
        <item x="48"/>
        <item x="146"/>
        <item x="238"/>
        <item x="183"/>
        <item x="181"/>
        <item x="205"/>
        <item x="130"/>
        <item x="56"/>
        <item x="234"/>
        <item x="153"/>
        <item x="228"/>
        <item x="206"/>
        <item x="213"/>
        <item x="239"/>
        <item x="191"/>
        <item x="174"/>
        <item x="129"/>
        <item x="189"/>
        <item x="240"/>
        <item x="68"/>
        <item x="172"/>
        <item x="154"/>
        <item x="12"/>
        <item x="178"/>
        <item x="217"/>
        <item x="90"/>
        <item x="156"/>
        <item x="112"/>
        <item x="179"/>
        <item x="113"/>
        <item x="214"/>
        <item x="105"/>
        <item x="165"/>
        <item x="175"/>
        <item x="196"/>
        <item x="7"/>
        <item x="72"/>
        <item x="222"/>
        <item x="95"/>
        <item x="33"/>
        <item x="75"/>
        <item x="99"/>
        <item x="119"/>
        <item x="159"/>
        <item x="142"/>
        <item x="36"/>
        <item x="162"/>
        <item x="38"/>
        <item x="233"/>
        <item x="97"/>
        <item x="138"/>
        <item x="121"/>
        <item x="123"/>
        <item x="84"/>
        <item x="204"/>
        <item x="215"/>
        <item x="227"/>
        <item x="8"/>
        <item x="236"/>
        <item x="192"/>
        <item x="25"/>
        <item x="78"/>
        <item x="132"/>
        <item x="21"/>
        <item x="31"/>
        <item x="43"/>
        <item x="231"/>
        <item x="147"/>
        <item x="127"/>
        <item x="111"/>
        <item x="176"/>
        <item x="69"/>
        <item x="59"/>
        <item x="131"/>
        <item x="40"/>
        <item x="3"/>
        <item x="144"/>
        <item x="117"/>
        <item x="125"/>
        <item x="137"/>
        <item x="22"/>
        <item x="89"/>
        <item x="11"/>
        <item x="166"/>
        <item x="164"/>
        <item x="98"/>
        <item x="94"/>
        <item x="118"/>
        <item x="61"/>
        <item x="41"/>
        <item x="96"/>
        <item x="225"/>
        <item x="4"/>
        <item x="135"/>
        <item x="77"/>
        <item x="198"/>
        <item x="85"/>
        <item x="74"/>
        <item x="52"/>
        <item x="26"/>
        <item x="35"/>
        <item x="157"/>
        <item x="64"/>
        <item x="66"/>
        <item x="30"/>
        <item x="167"/>
        <item x="151"/>
        <item x="201"/>
        <item x="29"/>
        <item x="83"/>
        <item x="86"/>
        <item x="223"/>
        <item x="197"/>
        <item x="80"/>
        <item x="103"/>
        <item x="114"/>
        <item x="91"/>
        <item x="58"/>
        <item x="79"/>
        <item x="65"/>
        <item x="53"/>
        <item x="27"/>
        <item x="200"/>
        <item x="60"/>
        <item x="152"/>
        <item x="241"/>
        <item x="39"/>
        <item x="24"/>
        <item x="1"/>
        <item x="16"/>
        <item x="19"/>
        <item x="13"/>
        <item x="160"/>
        <item x="133"/>
        <item x="70"/>
        <item x="45"/>
        <item x="49"/>
        <item x="10"/>
        <item x="2"/>
        <item x="185"/>
        <item x="116"/>
        <item x="54"/>
        <item x="107"/>
        <item x="163"/>
        <item x="76"/>
        <item x="155"/>
        <item x="188"/>
        <item x="126"/>
        <item x="92"/>
        <item x="207"/>
        <item x="122"/>
        <item x="128"/>
        <item x="71"/>
        <item x="148"/>
        <item x="150"/>
        <item x="134"/>
        <item x="145"/>
        <item x="62"/>
        <item x="55"/>
        <item x="218"/>
        <item x="37"/>
        <item x="15"/>
        <item x="82"/>
        <item x="34"/>
        <item x="44"/>
        <item x="143"/>
        <item x="47"/>
        <item x="216"/>
        <item x="210"/>
        <item x="5"/>
        <item x="221"/>
        <item x="168"/>
        <item x="211"/>
        <item x="194"/>
        <item x="229"/>
        <item x="23"/>
        <item x="187"/>
        <item x="232"/>
        <item x="195"/>
        <item x="136"/>
        <item x="202"/>
        <item x="158"/>
        <item x="104"/>
        <item x="101"/>
        <item x="141"/>
        <item x="203"/>
        <item x="169"/>
        <item x="161"/>
        <item x="120"/>
        <item x="73"/>
        <item x="106"/>
        <item x="28"/>
        <item x="224"/>
        <item x="32"/>
        <item x="209"/>
        <item x="50"/>
        <item x="170"/>
        <item x="140"/>
        <item x="124"/>
        <item x="115"/>
        <item x="14"/>
        <item x="237"/>
        <item x="81"/>
        <item x="226"/>
        <item x="63"/>
        <item x="108"/>
        <item x="18"/>
        <item x="139"/>
        <item x="190"/>
        <item x="199"/>
        <item x="110"/>
        <item x="9"/>
        <item x="87"/>
        <item x="42"/>
        <item x="100"/>
        <item x="220"/>
        <item x="46"/>
        <item x="20"/>
        <item x="17"/>
        <item x="6"/>
        <item x="212"/>
        <item x="88"/>
        <item x="173"/>
        <item x="193"/>
        <item x="184"/>
        <item x="180"/>
        <item x="51"/>
        <item x="219"/>
        <item x="93"/>
        <item x="149"/>
        <item x="109"/>
        <item x="182"/>
        <item x="230"/>
        <item x="67"/>
        <item x="177"/>
        <item x="17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</pivotFields>
  <rowFields count="2">
    <field x="3"/>
    <field x="4"/>
  </rowFields>
  <rowItems count="6">
    <i>
      <x/>
    </i>
    <i r="1">
      <x/>
    </i>
    <i r="1">
      <x v="1"/>
    </i>
    <i>
      <x v="1"/>
    </i>
    <i r="1">
      <x/>
    </i>
    <i r="1">
      <x v="1"/>
    </i>
  </rowItems>
  <colItems count="1">
    <i/>
  </colItems>
  <dataFields count="1">
    <dataField name="avg tip_percent" fld="2" subtotal="average" baseField="5" baseItem="0" numFmtId="10"/>
  </dataFields>
  <formats count="1">
    <format dxfId="43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4AE82-50DA-4E96-B720-6B699B7FA1B4}" name="TablaDinámica15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8" rowHeaderCaption="Size">
  <location ref="K21:L27" firstHeaderRow="1" firstDataRow="1" firstDataCol="1"/>
  <pivotFields count="9">
    <pivotField numFmtId="8" showAll="0"/>
    <pivotField numFmtId="8" showAll="0"/>
    <pivotField dataField="1" numFmtId="9"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x="3"/>
        <item x="0"/>
        <item x="1"/>
        <item x="2"/>
        <item x="5"/>
        <item x="4"/>
        <item t="default"/>
      </items>
    </pivotField>
    <pivotField numFmtId="4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g tip_percent" fld="2" subtotal="average" baseField="5" baseItem="0" numFmtId="10"/>
  </dataFields>
  <formats count="1">
    <format dxfId="45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BB6CB-D09A-40F4-B4BA-EB2B71767FDB}" name="TablaDinámica14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5" rowHeaderCaption="Time">
  <location ref="K17:L19" firstHeaderRow="1" firstDataRow="1" firstDataCol="1"/>
  <pivotFields count="9">
    <pivotField numFmtId="8" showAll="0"/>
    <pivotField numFmtId="8" showAll="0"/>
    <pivotField dataField="1" numFmtId="9"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44" showAll="0"/>
  </pivotFields>
  <rowFields count="1">
    <field x="6"/>
  </rowFields>
  <rowItems count="2">
    <i>
      <x/>
    </i>
    <i>
      <x v="1"/>
    </i>
  </rowItems>
  <colItems count="1">
    <i/>
  </colItems>
  <dataFields count="1">
    <dataField name="avg tip_percent" fld="2" subtotal="average" baseField="5" baseItem="0" numFmtId="10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75635-4851-4BF5-A74F-57DB8F6F3F7F}" name="TablaDinámica12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6" rowHeaderCaption="Day ">
  <location ref="K5:L15" firstHeaderRow="1" firstDataRow="1" firstDataCol="1"/>
  <pivotFields count="9">
    <pivotField numFmtId="8" showAll="0"/>
    <pivotField numFmtId="8" showAll="0"/>
    <pivotField dataField="1" numFmtId="9" showAll="0">
      <items count="243">
        <item x="235"/>
        <item x="102"/>
        <item x="57"/>
        <item x="0"/>
        <item x="186"/>
        <item x="208"/>
        <item x="48"/>
        <item x="146"/>
        <item x="238"/>
        <item x="183"/>
        <item x="181"/>
        <item x="205"/>
        <item x="130"/>
        <item x="56"/>
        <item x="234"/>
        <item x="153"/>
        <item x="228"/>
        <item x="206"/>
        <item x="213"/>
        <item x="239"/>
        <item x="191"/>
        <item x="174"/>
        <item x="129"/>
        <item x="189"/>
        <item x="240"/>
        <item x="68"/>
        <item x="172"/>
        <item x="154"/>
        <item x="12"/>
        <item x="178"/>
        <item x="217"/>
        <item x="90"/>
        <item x="156"/>
        <item x="112"/>
        <item x="179"/>
        <item x="113"/>
        <item x="214"/>
        <item x="105"/>
        <item x="165"/>
        <item x="175"/>
        <item x="196"/>
        <item x="7"/>
        <item x="72"/>
        <item x="222"/>
        <item x="95"/>
        <item x="33"/>
        <item x="75"/>
        <item x="99"/>
        <item x="119"/>
        <item x="159"/>
        <item x="142"/>
        <item x="36"/>
        <item x="162"/>
        <item x="38"/>
        <item x="233"/>
        <item x="97"/>
        <item x="138"/>
        <item x="121"/>
        <item x="123"/>
        <item x="84"/>
        <item x="204"/>
        <item x="215"/>
        <item x="227"/>
        <item x="8"/>
        <item x="236"/>
        <item x="192"/>
        <item x="25"/>
        <item x="78"/>
        <item x="132"/>
        <item x="21"/>
        <item x="31"/>
        <item x="43"/>
        <item x="231"/>
        <item x="147"/>
        <item x="127"/>
        <item x="111"/>
        <item x="176"/>
        <item x="69"/>
        <item x="59"/>
        <item x="131"/>
        <item x="40"/>
        <item x="3"/>
        <item x="144"/>
        <item x="117"/>
        <item x="125"/>
        <item x="137"/>
        <item x="22"/>
        <item x="89"/>
        <item x="11"/>
        <item x="166"/>
        <item x="164"/>
        <item x="98"/>
        <item x="94"/>
        <item x="118"/>
        <item x="61"/>
        <item x="41"/>
        <item x="96"/>
        <item x="225"/>
        <item x="4"/>
        <item x="135"/>
        <item x="77"/>
        <item x="198"/>
        <item x="85"/>
        <item x="74"/>
        <item x="52"/>
        <item x="26"/>
        <item x="35"/>
        <item x="157"/>
        <item x="64"/>
        <item x="66"/>
        <item x="30"/>
        <item x="167"/>
        <item x="151"/>
        <item x="201"/>
        <item x="29"/>
        <item x="83"/>
        <item x="86"/>
        <item x="223"/>
        <item x="197"/>
        <item x="80"/>
        <item x="103"/>
        <item x="114"/>
        <item x="91"/>
        <item x="58"/>
        <item x="79"/>
        <item x="65"/>
        <item x="53"/>
        <item x="27"/>
        <item x="200"/>
        <item x="60"/>
        <item x="152"/>
        <item x="241"/>
        <item x="39"/>
        <item x="24"/>
        <item x="1"/>
        <item x="16"/>
        <item x="19"/>
        <item x="13"/>
        <item x="160"/>
        <item x="133"/>
        <item x="70"/>
        <item x="45"/>
        <item x="49"/>
        <item x="10"/>
        <item x="2"/>
        <item x="185"/>
        <item x="116"/>
        <item x="54"/>
        <item x="107"/>
        <item x="163"/>
        <item x="76"/>
        <item x="155"/>
        <item x="188"/>
        <item x="126"/>
        <item x="92"/>
        <item x="207"/>
        <item x="122"/>
        <item x="128"/>
        <item x="71"/>
        <item x="148"/>
        <item x="150"/>
        <item x="134"/>
        <item x="145"/>
        <item x="62"/>
        <item x="55"/>
        <item x="218"/>
        <item x="37"/>
        <item x="15"/>
        <item x="82"/>
        <item x="34"/>
        <item x="44"/>
        <item x="143"/>
        <item x="47"/>
        <item x="216"/>
        <item x="210"/>
        <item x="5"/>
        <item x="221"/>
        <item x="168"/>
        <item x="211"/>
        <item x="194"/>
        <item x="229"/>
        <item x="23"/>
        <item x="187"/>
        <item x="232"/>
        <item x="195"/>
        <item x="136"/>
        <item x="202"/>
        <item x="158"/>
        <item x="104"/>
        <item x="101"/>
        <item x="141"/>
        <item x="203"/>
        <item x="169"/>
        <item x="161"/>
        <item x="120"/>
        <item x="73"/>
        <item x="106"/>
        <item x="28"/>
        <item x="224"/>
        <item x="32"/>
        <item x="209"/>
        <item x="50"/>
        <item x="170"/>
        <item x="140"/>
        <item x="124"/>
        <item x="115"/>
        <item x="14"/>
        <item x="237"/>
        <item x="81"/>
        <item x="226"/>
        <item x="63"/>
        <item x="108"/>
        <item x="18"/>
        <item x="139"/>
        <item x="190"/>
        <item x="199"/>
        <item x="110"/>
        <item x="9"/>
        <item x="87"/>
        <item x="42"/>
        <item x="100"/>
        <item x="220"/>
        <item x="46"/>
        <item x="20"/>
        <item x="17"/>
        <item x="6"/>
        <item x="212"/>
        <item x="88"/>
        <item x="173"/>
        <item x="193"/>
        <item x="184"/>
        <item x="180"/>
        <item x="51"/>
        <item x="219"/>
        <item x="93"/>
        <item x="149"/>
        <item x="109"/>
        <item x="182"/>
        <item x="230"/>
        <item x="67"/>
        <item x="177"/>
        <item x="171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44" showAll="0"/>
  </pivotFields>
  <rowFields count="2">
    <field x="5"/>
    <field x="6"/>
  </rowFields>
  <rowItems count="10">
    <i>
      <x/>
    </i>
    <i r="1">
      <x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</rowItems>
  <colItems count="1">
    <i/>
  </colItems>
  <dataFields count="1">
    <dataField name="avg tip_percent" fld="2" subtotal="average" baseField="5" baseItem="0" numFmtId="10"/>
  </dataFields>
  <formats count="1">
    <format dxfId="31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BC897-B369-420C-B500-4A89BA8BE627}" name="TablaDinámica20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0" rowHeaderCaption="Smoker">
  <location ref="K37:L43" firstHeaderRow="1" firstDataRow="1" firstDataCol="1"/>
  <pivotFields count="9">
    <pivotField numFmtId="8" showAll="0"/>
    <pivotField numFmtId="8" showAll="0"/>
    <pivotField dataField="1" numFmtId="9" showAll="0">
      <items count="243">
        <item x="235"/>
        <item x="102"/>
        <item x="57"/>
        <item x="0"/>
        <item x="186"/>
        <item x="208"/>
        <item x="48"/>
        <item x="146"/>
        <item x="238"/>
        <item x="183"/>
        <item x="181"/>
        <item x="205"/>
        <item x="130"/>
        <item x="56"/>
        <item x="234"/>
        <item x="153"/>
        <item x="228"/>
        <item x="206"/>
        <item x="213"/>
        <item x="239"/>
        <item x="191"/>
        <item x="174"/>
        <item x="129"/>
        <item x="189"/>
        <item x="240"/>
        <item x="68"/>
        <item x="172"/>
        <item x="154"/>
        <item x="12"/>
        <item x="178"/>
        <item x="217"/>
        <item x="90"/>
        <item x="156"/>
        <item x="112"/>
        <item x="179"/>
        <item x="113"/>
        <item x="214"/>
        <item x="105"/>
        <item x="165"/>
        <item x="175"/>
        <item x="196"/>
        <item x="7"/>
        <item x="72"/>
        <item x="222"/>
        <item x="95"/>
        <item x="33"/>
        <item x="75"/>
        <item x="99"/>
        <item x="119"/>
        <item x="159"/>
        <item x="142"/>
        <item x="36"/>
        <item x="162"/>
        <item x="38"/>
        <item x="233"/>
        <item x="97"/>
        <item x="138"/>
        <item x="121"/>
        <item x="123"/>
        <item x="84"/>
        <item x="204"/>
        <item x="215"/>
        <item x="227"/>
        <item x="8"/>
        <item x="236"/>
        <item x="192"/>
        <item x="25"/>
        <item x="78"/>
        <item x="132"/>
        <item x="21"/>
        <item x="31"/>
        <item x="43"/>
        <item x="231"/>
        <item x="147"/>
        <item x="127"/>
        <item x="111"/>
        <item x="176"/>
        <item x="69"/>
        <item x="59"/>
        <item x="131"/>
        <item x="40"/>
        <item x="3"/>
        <item x="144"/>
        <item x="117"/>
        <item x="125"/>
        <item x="137"/>
        <item x="22"/>
        <item x="89"/>
        <item x="11"/>
        <item x="166"/>
        <item x="164"/>
        <item x="98"/>
        <item x="94"/>
        <item x="118"/>
        <item x="61"/>
        <item x="41"/>
        <item x="96"/>
        <item x="225"/>
        <item x="4"/>
        <item x="135"/>
        <item x="77"/>
        <item x="198"/>
        <item x="85"/>
        <item x="74"/>
        <item x="52"/>
        <item x="26"/>
        <item x="35"/>
        <item x="157"/>
        <item x="64"/>
        <item x="66"/>
        <item x="30"/>
        <item x="167"/>
        <item x="151"/>
        <item x="201"/>
        <item x="29"/>
        <item x="83"/>
        <item x="86"/>
        <item x="223"/>
        <item x="197"/>
        <item x="80"/>
        <item x="103"/>
        <item x="114"/>
        <item x="91"/>
        <item x="58"/>
        <item x="79"/>
        <item x="65"/>
        <item x="53"/>
        <item x="27"/>
        <item x="200"/>
        <item x="60"/>
        <item x="152"/>
        <item x="241"/>
        <item x="39"/>
        <item x="24"/>
        <item x="1"/>
        <item x="16"/>
        <item x="19"/>
        <item x="13"/>
        <item x="160"/>
        <item x="133"/>
        <item x="70"/>
        <item x="45"/>
        <item x="49"/>
        <item x="10"/>
        <item x="2"/>
        <item x="185"/>
        <item x="116"/>
        <item x="54"/>
        <item x="107"/>
        <item x="163"/>
        <item x="76"/>
        <item x="155"/>
        <item x="188"/>
        <item x="126"/>
        <item x="92"/>
        <item x="207"/>
        <item x="122"/>
        <item x="128"/>
        <item x="71"/>
        <item x="148"/>
        <item x="150"/>
        <item x="134"/>
        <item x="145"/>
        <item x="62"/>
        <item x="55"/>
        <item x="218"/>
        <item x="37"/>
        <item x="15"/>
        <item x="82"/>
        <item x="34"/>
        <item x="44"/>
        <item x="143"/>
        <item x="47"/>
        <item x="216"/>
        <item x="210"/>
        <item x="5"/>
        <item x="221"/>
        <item x="168"/>
        <item x="211"/>
        <item x="194"/>
        <item x="229"/>
        <item x="23"/>
        <item x="187"/>
        <item x="232"/>
        <item x="195"/>
        <item x="136"/>
        <item x="202"/>
        <item x="158"/>
        <item x="104"/>
        <item x="101"/>
        <item x="141"/>
        <item x="203"/>
        <item x="169"/>
        <item x="161"/>
        <item x="120"/>
        <item x="73"/>
        <item x="106"/>
        <item x="28"/>
        <item x="224"/>
        <item x="32"/>
        <item x="209"/>
        <item x="50"/>
        <item x="170"/>
        <item x="140"/>
        <item x="124"/>
        <item x="115"/>
        <item x="14"/>
        <item x="237"/>
        <item x="81"/>
        <item x="226"/>
        <item x="63"/>
        <item x="108"/>
        <item x="18"/>
        <item x="139"/>
        <item x="190"/>
        <item x="199"/>
        <item x="110"/>
        <item x="9"/>
        <item x="87"/>
        <item x="42"/>
        <item x="100"/>
        <item x="220"/>
        <item x="46"/>
        <item x="20"/>
        <item x="17"/>
        <item x="6"/>
        <item x="212"/>
        <item x="88"/>
        <item x="173"/>
        <item x="193"/>
        <item x="184"/>
        <item x="180"/>
        <item x="51"/>
        <item x="219"/>
        <item x="93"/>
        <item x="149"/>
        <item x="109"/>
        <item x="182"/>
        <item x="230"/>
        <item x="67"/>
        <item x="177"/>
        <item x="17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44" showAll="0"/>
  </pivotFields>
  <rowFields count="2">
    <field x="6"/>
    <field x="4"/>
  </rowFields>
  <rowItems count="6">
    <i>
      <x/>
    </i>
    <i r="1">
      <x/>
    </i>
    <i r="1">
      <x v="1"/>
    </i>
    <i>
      <x v="1"/>
    </i>
    <i r="1">
      <x/>
    </i>
    <i r="1">
      <x v="1"/>
    </i>
  </rowItems>
  <colItems count="1">
    <i/>
  </colItems>
  <dataFields count="1">
    <dataField name="Promedio de  tip_percent " fld="2" subtotal="average" baseField="6" baseItem="0" numFmtId="9"/>
  </dataFields>
  <formats count="1">
    <format dxfId="47">
      <pivotArea outline="0" collapsedLevelsAreSubtotals="1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y" xr10:uid="{639EA000-1CC9-4D53-915F-EB8A36AEB4AF}" sourceName="day">
  <pivotTables>
    <pivotTable tabId="1" name="TablaDinámica12"/>
  </pivotTables>
  <data>
    <tabular pivotCacheId="1960840576">
      <items count="4">
        <i x="0" s="1"/>
        <i x="3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able_size" xr10:uid="{429F37D0-4445-4E44-8AC6-90330461EF43}" sourceName="table_size">
  <pivotTables>
    <pivotTable tabId="1" name="TablaDinámica15"/>
  </pivotTables>
  <data>
    <tabular pivotCacheId="1960840576">
      <items count="6">
        <i x="3" s="1"/>
        <i x="0" s="1"/>
        <i x="1" s="1"/>
        <i x="2" s="1"/>
        <i x="5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" xr10:uid="{B9F3AB4B-7895-4EBF-A733-BA0CE9AD6132}" sourceName="sex">
  <pivotTables>
    <pivotTable tabId="1" name="TablaDinámica19"/>
  </pivotTables>
  <data>
    <tabular pivotCacheId="1960840576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moker" xr10:uid="{C5FD6A2B-661A-4CFA-9DAD-0FCBCB55F809}" sourceName="smoker">
  <pivotTables>
    <pivotTable tabId="1" name="TablaDinámica19"/>
  </pivotTables>
  <data>
    <tabular pivotCacheId="1960840576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moker1" xr10:uid="{5D4A774F-922A-4A8F-9D73-FAFA19A8BA69}" sourceName="smoker">
  <pivotTables>
    <pivotTable tabId="1" name="TablaDinámica20"/>
  </pivotTables>
  <data>
    <tabular pivotCacheId="1960840576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me" xr10:uid="{26ADD393-DD46-49E8-86ED-074EF7E806C0}" sourceName="time">
  <pivotTables>
    <pivotTable tabId="1" name="TablaDinámica20"/>
  </pivotTables>
  <data>
    <tabular pivotCacheId="1960840576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y" xr10:uid="{9DEB9CBF-D3A4-461E-8C7C-E95E91F98F26}" cache="SegmentaciónDeDatos_day" caption="day" rowHeight="247650"/>
  <slicer name="table_size" xr10:uid="{A0187200-F3EC-432F-819F-15F1A08B1785}" cache="SegmentaciónDeDatos_table_size" caption="table_size" rowHeight="247650"/>
  <slicer name="sex" xr10:uid="{A37C4771-AE1B-40B8-AD5B-9E7F56EEE58B}" cache="SegmentaciónDeDatos_sex" caption="sex" rowHeight="247650"/>
  <slicer name="smoker" xr10:uid="{4495293D-2DDB-45D7-B3D7-B9C39079DEAC}" cache="SegmentaciónDeDatos_smoker" caption="smoker" rowHeight="247650"/>
  <slicer name="smoker 1" xr10:uid="{D36F108C-F029-47D8-8160-FAE8A870FF00}" cache="SegmentaciónDeDatos_smoker1" caption="smoker" rowHeight="247650"/>
  <slicer name="time" xr10:uid="{BC8B7D82-A56B-41B2-B834-F532C6B22EAF}" cache="SegmentaciónDeDatos_time" caption="tim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28F26C-73AC-42BE-8912-46FA3CEA32AD}" name="Tabla2" displayName="Tabla2" ref="A1:I245" totalsRowShown="0" headerRowDxfId="42" dataDxfId="41">
  <autoFilter ref="A1:I245" xr:uid="{DA28F26C-73AC-42BE-8912-46FA3CEA32AD}"/>
  <sortState xmlns:xlrd2="http://schemas.microsoft.com/office/spreadsheetml/2017/richdata2" ref="A2:I245">
    <sortCondition descending="1" ref="A1:A245"/>
  </sortState>
  <tableColumns count="9">
    <tableColumn id="1" xr3:uid="{EF2C15C6-395F-4E1A-B98D-7E71FE510DC7}" name=" total_bill " dataDxfId="40"/>
    <tableColumn id="2" xr3:uid="{E5C2B2A8-445C-4F0F-8E5B-4EBBD0CBC387}" name=" tip " dataDxfId="39"/>
    <tableColumn id="3" xr3:uid="{D02B8593-9A9D-47F7-94AC-E9E41624B715}" name=" tip_percent " dataDxfId="38">
      <calculatedColumnFormula>+Tabla2[[#This Row],[ tip ]]/Tabla2[[#This Row],[ total_bill ]]</calculatedColumnFormula>
    </tableColumn>
    <tableColumn id="4" xr3:uid="{1EF7416A-ADD3-474D-90F9-7810A95F4A1E}" name="sex" dataDxfId="37"/>
    <tableColumn id="5" xr3:uid="{D4114EB1-E101-4321-8FF6-26E0D784B270}" name="smoker" dataDxfId="36"/>
    <tableColumn id="6" xr3:uid="{FE76FDBF-973C-4FF1-87CC-B34F288DEE6B}" name="day" dataDxfId="35"/>
    <tableColumn id="7" xr3:uid="{D0E5669D-2FD4-4CE9-B074-D0F485E8A244}" name="time" dataDxfId="34"/>
    <tableColumn id="8" xr3:uid="{C38C598D-00F5-4A2D-B371-FE2A7A7BE37A}" name="table_size" dataDxfId="33"/>
    <tableColumn id="9" xr3:uid="{F726A7EF-59C5-4162-8FC4-8A08A423CD73}" name="bill_pperson" dataDxfId="32" dataCellStyle="Moneda">
      <calculatedColumnFormula>+Tabla2[[#This Row],[ total_bill ]]/Tabla2[[#This Row],[table_size]]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F66B-7EE1-4060-898A-A598A2CF49A7}">
  <dimension ref="A1:AB245"/>
  <sheetViews>
    <sheetView topLeftCell="A19" zoomScale="90" zoomScaleNormal="90" workbookViewId="0">
      <selection activeCell="N14" sqref="N14"/>
    </sheetView>
  </sheetViews>
  <sheetFormatPr baseColWidth="10" defaultRowHeight="14.4" x14ac:dyDescent="0.3"/>
  <cols>
    <col min="1" max="1" width="13.5546875" style="3" bestFit="1" customWidth="1"/>
    <col min="2" max="2" width="8.44140625" style="3" bestFit="1" customWidth="1"/>
    <col min="3" max="3" width="15.6640625" style="3" bestFit="1" customWidth="1"/>
    <col min="4" max="4" width="8.21875" style="3" bestFit="1" customWidth="1"/>
    <col min="5" max="5" width="11.6640625" style="3" bestFit="1" customWidth="1"/>
    <col min="6" max="6" width="8.44140625" style="3" bestFit="1" customWidth="1"/>
    <col min="7" max="7" width="9.33203125" style="3" bestFit="1" customWidth="1"/>
    <col min="8" max="8" width="13.88671875" style="3" bestFit="1" customWidth="1"/>
    <col min="9" max="9" width="17.109375" style="8" bestFit="1" customWidth="1"/>
    <col min="10" max="10" width="6" customWidth="1"/>
    <col min="11" max="11" width="7.109375" bestFit="1" customWidth="1"/>
    <col min="12" max="12" width="14.33203125" bestFit="1" customWidth="1"/>
    <col min="13" max="13" width="9.77734375" bestFit="1" customWidth="1"/>
    <col min="14" max="14" width="14.33203125" bestFit="1" customWidth="1"/>
    <col min="17" max="17" width="6.21875" customWidth="1"/>
    <col min="18" max="18" width="7.21875" bestFit="1" customWidth="1"/>
    <col min="19" max="19" width="14.33203125" bestFit="1" customWidth="1"/>
    <col min="20" max="20" width="12.109375" bestFit="1" customWidth="1"/>
    <col min="21" max="21" width="21.109375" bestFit="1" customWidth="1"/>
    <col min="23" max="23" width="8.109375" customWidth="1"/>
    <col min="24" max="24" width="10.33203125" bestFit="1" customWidth="1"/>
    <col min="25" max="25" width="23.3320312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20</v>
      </c>
      <c r="K1" s="5" t="s">
        <v>19</v>
      </c>
    </row>
    <row r="2" spans="1:24" x14ac:dyDescent="0.3">
      <c r="A2" s="4">
        <v>50.81</v>
      </c>
      <c r="B2" s="4">
        <v>10</v>
      </c>
      <c r="C2" s="6">
        <f>+Tabla2[[#This Row],[ tip ]]/Tabla2[[#This Row],[ total_bill ]]</f>
        <v>0.19681165124975397</v>
      </c>
      <c r="D2" s="3" t="s">
        <v>13</v>
      </c>
      <c r="E2" s="3" t="s">
        <v>14</v>
      </c>
      <c r="F2" s="3" t="s">
        <v>17</v>
      </c>
      <c r="G2" s="3" t="s">
        <v>12</v>
      </c>
      <c r="H2" s="3">
        <v>3</v>
      </c>
      <c r="I2" s="7">
        <f>+Tabla2[[#This Row],[ total_bill ]]/Tabla2[[#This Row],[table_size]]</f>
        <v>16.936666666666667</v>
      </c>
      <c r="K2" s="9">
        <f>+AVERAGE(Tabla2[[ tip ]])</f>
        <v>2.9982786885245907</v>
      </c>
      <c r="O2" s="1"/>
      <c r="P2" s="2"/>
      <c r="Q2" s="1"/>
    </row>
    <row r="3" spans="1:24" x14ac:dyDescent="0.3">
      <c r="A3" s="4">
        <v>48.33</v>
      </c>
      <c r="B3" s="4">
        <v>9</v>
      </c>
      <c r="C3" s="6">
        <f>+Tabla2[[#This Row],[ tip ]]/Tabla2[[#This Row],[ total_bill ]]</f>
        <v>0.18621973929236499</v>
      </c>
      <c r="D3" s="3" t="s">
        <v>13</v>
      </c>
      <c r="E3" s="3" t="s">
        <v>10</v>
      </c>
      <c r="F3" s="3" t="s">
        <v>17</v>
      </c>
      <c r="G3" s="3" t="s">
        <v>12</v>
      </c>
      <c r="H3" s="3">
        <v>4</v>
      </c>
      <c r="I3" s="7">
        <f>+Tabla2[[#This Row],[ total_bill ]]/Tabla2[[#This Row],[table_size]]</f>
        <v>12.0825</v>
      </c>
      <c r="K3" s="10">
        <f>+AVERAGE(Tabla2[ tip_percent ])</f>
        <v>0.16080258172250458</v>
      </c>
      <c r="O3" s="1"/>
      <c r="P3" s="2"/>
      <c r="Q3" s="1"/>
    </row>
    <row r="4" spans="1:24" x14ac:dyDescent="0.3">
      <c r="A4" s="4">
        <v>48.27</v>
      </c>
      <c r="B4" s="4">
        <v>6.73</v>
      </c>
      <c r="C4" s="6">
        <f>+Tabla2[[#This Row],[ tip ]]/Tabla2[[#This Row],[ total_bill ]]</f>
        <v>0.13942407292314066</v>
      </c>
      <c r="D4" s="3" t="s">
        <v>13</v>
      </c>
      <c r="E4" s="3" t="s">
        <v>10</v>
      </c>
      <c r="F4" s="3" t="s">
        <v>17</v>
      </c>
      <c r="G4" s="3" t="s">
        <v>12</v>
      </c>
      <c r="H4" s="3">
        <v>4</v>
      </c>
      <c r="I4" s="7">
        <f>+Tabla2[[#This Row],[ total_bill ]]/Tabla2[[#This Row],[table_size]]</f>
        <v>12.067500000000001</v>
      </c>
      <c r="O4" s="1"/>
      <c r="P4" s="2"/>
      <c r="Q4" s="1"/>
    </row>
    <row r="5" spans="1:24" x14ac:dyDescent="0.3">
      <c r="A5" s="4">
        <v>48.17</v>
      </c>
      <c r="B5" s="4">
        <v>5</v>
      </c>
      <c r="C5" s="6">
        <f>+Tabla2[[#This Row],[ tip ]]/Tabla2[[#This Row],[ total_bill ]]</f>
        <v>0.10379904504878555</v>
      </c>
      <c r="D5" s="3" t="s">
        <v>13</v>
      </c>
      <c r="E5" s="3" t="s">
        <v>10</v>
      </c>
      <c r="F5" s="3" t="s">
        <v>11</v>
      </c>
      <c r="G5" s="3" t="s">
        <v>12</v>
      </c>
      <c r="H5" s="3">
        <v>6</v>
      </c>
      <c r="I5" s="7">
        <f>+Tabla2[[#This Row],[ total_bill ]]/Tabla2[[#This Row],[table_size]]</f>
        <v>8.0283333333333342</v>
      </c>
      <c r="K5" s="11" t="s">
        <v>22</v>
      </c>
      <c r="L5" t="s">
        <v>8</v>
      </c>
      <c r="O5" s="1"/>
      <c r="P5" s="2"/>
      <c r="Q5" s="1"/>
    </row>
    <row r="6" spans="1:24" x14ac:dyDescent="0.3">
      <c r="A6" s="4">
        <v>45.35</v>
      </c>
      <c r="B6" s="4">
        <v>3.5</v>
      </c>
      <c r="C6" s="6">
        <f>+Tabla2[[#This Row],[ tip ]]/Tabla2[[#This Row],[ total_bill ]]</f>
        <v>7.7177508269018744E-2</v>
      </c>
      <c r="D6" s="3" t="s">
        <v>13</v>
      </c>
      <c r="E6" s="3" t="s">
        <v>14</v>
      </c>
      <c r="F6" s="3" t="s">
        <v>11</v>
      </c>
      <c r="G6" s="3" t="s">
        <v>12</v>
      </c>
      <c r="H6" s="3">
        <v>3</v>
      </c>
      <c r="I6" s="7">
        <f>+Tabla2[[#This Row],[ total_bill ]]/Tabla2[[#This Row],[table_size]]</f>
        <v>15.116666666666667</v>
      </c>
      <c r="K6" s="12" t="s">
        <v>11</v>
      </c>
      <c r="L6" s="14">
        <v>0.16689728635113457</v>
      </c>
      <c r="O6" s="1"/>
      <c r="P6" s="2"/>
      <c r="Q6" s="1"/>
    </row>
    <row r="7" spans="1:24" x14ac:dyDescent="0.3">
      <c r="A7" s="4">
        <v>44.3</v>
      </c>
      <c r="B7" s="4">
        <v>2.5</v>
      </c>
      <c r="C7" s="6">
        <f>+Tabla2[[#This Row],[ tip ]]/Tabla2[[#This Row],[ total_bill ]]</f>
        <v>5.6433408577878111E-2</v>
      </c>
      <c r="D7" s="3" t="s">
        <v>9</v>
      </c>
      <c r="E7" s="3" t="s">
        <v>14</v>
      </c>
      <c r="F7" s="3" t="s">
        <v>17</v>
      </c>
      <c r="G7" s="3" t="s">
        <v>12</v>
      </c>
      <c r="H7" s="3">
        <v>3</v>
      </c>
      <c r="I7" s="7">
        <f>+Tabla2[[#This Row],[ total_bill ]]/Tabla2[[#This Row],[table_size]]</f>
        <v>14.766666666666666</v>
      </c>
      <c r="K7" s="13" t="s">
        <v>12</v>
      </c>
      <c r="L7" s="14">
        <v>0.16689728635113457</v>
      </c>
      <c r="O7" s="1"/>
      <c r="P7" s="2"/>
      <c r="Q7" s="1"/>
      <c r="X7" t="s">
        <v>27</v>
      </c>
    </row>
    <row r="8" spans="1:24" x14ac:dyDescent="0.3">
      <c r="A8" s="4">
        <v>43.11</v>
      </c>
      <c r="B8" s="4">
        <v>5</v>
      </c>
      <c r="C8" s="6">
        <f>+Tabla2[[#This Row],[ tip ]]/Tabla2[[#This Row],[ total_bill ]]</f>
        <v>0.11598237067965669</v>
      </c>
      <c r="D8" s="3" t="s">
        <v>9</v>
      </c>
      <c r="E8" s="3" t="s">
        <v>14</v>
      </c>
      <c r="F8" s="3" t="s">
        <v>18</v>
      </c>
      <c r="G8" s="3" t="s">
        <v>16</v>
      </c>
      <c r="H8" s="3">
        <v>4</v>
      </c>
      <c r="I8" s="7">
        <f>+Tabla2[[#This Row],[ total_bill ]]/Tabla2[[#This Row],[table_size]]</f>
        <v>10.7775</v>
      </c>
      <c r="K8" s="12" t="s">
        <v>15</v>
      </c>
      <c r="L8" s="14">
        <v>0.16991302873347888</v>
      </c>
    </row>
    <row r="9" spans="1:24" x14ac:dyDescent="0.3">
      <c r="A9" s="4">
        <v>41.19</v>
      </c>
      <c r="B9" s="4">
        <v>5</v>
      </c>
      <c r="C9" s="6">
        <f>+Tabla2[[#This Row],[ tip ]]/Tabla2[[#This Row],[ total_bill ]]</f>
        <v>0.12138868657441128</v>
      </c>
      <c r="D9" s="3" t="s">
        <v>13</v>
      </c>
      <c r="E9" s="3" t="s">
        <v>10</v>
      </c>
      <c r="F9" s="3" t="s">
        <v>18</v>
      </c>
      <c r="G9" s="3" t="s">
        <v>16</v>
      </c>
      <c r="H9" s="3">
        <v>5</v>
      </c>
      <c r="I9" s="7">
        <f>+Tabla2[[#This Row],[ total_bill ]]/Tabla2[[#This Row],[table_size]]</f>
        <v>8.2379999999999995</v>
      </c>
      <c r="K9" s="13" t="s">
        <v>12</v>
      </c>
      <c r="L9" s="14">
        <v>0.15891611065601627</v>
      </c>
    </row>
    <row r="10" spans="1:24" x14ac:dyDescent="0.3">
      <c r="A10" s="4">
        <v>40.549999999999997</v>
      </c>
      <c r="B10" s="4">
        <v>3</v>
      </c>
      <c r="C10" s="6">
        <f>+Tabla2[[#This Row],[ tip ]]/Tabla2[[#This Row],[ total_bill ]]</f>
        <v>7.3982737361282372E-2</v>
      </c>
      <c r="D10" s="3" t="s">
        <v>13</v>
      </c>
      <c r="E10" s="3" t="s">
        <v>14</v>
      </c>
      <c r="F10" s="3" t="s">
        <v>11</v>
      </c>
      <c r="G10" s="3" t="s">
        <v>12</v>
      </c>
      <c r="H10" s="3">
        <v>2</v>
      </c>
      <c r="I10" s="7">
        <f>+Tabla2[[#This Row],[ total_bill ]]/Tabla2[[#This Row],[table_size]]</f>
        <v>20.274999999999999</v>
      </c>
      <c r="K10" s="13" t="s">
        <v>16</v>
      </c>
      <c r="L10" s="14">
        <v>0.18876488829484336</v>
      </c>
    </row>
    <row r="11" spans="1:24" x14ac:dyDescent="0.3">
      <c r="A11" s="4">
        <v>40.17</v>
      </c>
      <c r="B11" s="4">
        <v>4.7300000000000004</v>
      </c>
      <c r="C11" s="6">
        <f>+Tabla2[[#This Row],[ tip ]]/Tabla2[[#This Row],[ total_bill ]]</f>
        <v>0.1177495643515061</v>
      </c>
      <c r="D11" s="3" t="s">
        <v>13</v>
      </c>
      <c r="E11" s="3" t="s">
        <v>14</v>
      </c>
      <c r="F11" s="3" t="s">
        <v>15</v>
      </c>
      <c r="G11" s="3" t="s">
        <v>12</v>
      </c>
      <c r="H11" s="3">
        <v>4</v>
      </c>
      <c r="I11" s="7">
        <f>+Tabla2[[#This Row],[ total_bill ]]/Tabla2[[#This Row],[table_size]]</f>
        <v>10.0425</v>
      </c>
      <c r="K11" s="12" t="s">
        <v>17</v>
      </c>
      <c r="L11" s="14">
        <v>0.15315171638777811</v>
      </c>
    </row>
    <row r="12" spans="1:24" x14ac:dyDescent="0.3">
      <c r="A12" s="4">
        <v>39.42</v>
      </c>
      <c r="B12" s="4">
        <v>7.58</v>
      </c>
      <c r="C12" s="6">
        <f>+Tabla2[[#This Row],[ tip ]]/Tabla2[[#This Row],[ total_bill ]]</f>
        <v>0.19228817858954844</v>
      </c>
      <c r="D12" s="3" t="s">
        <v>13</v>
      </c>
      <c r="E12" s="3" t="s">
        <v>10</v>
      </c>
      <c r="F12" s="3" t="s">
        <v>17</v>
      </c>
      <c r="G12" s="3" t="s">
        <v>12</v>
      </c>
      <c r="H12" s="3">
        <v>4</v>
      </c>
      <c r="I12" s="7">
        <f>+Tabla2[[#This Row],[ total_bill ]]/Tabla2[[#This Row],[table_size]]</f>
        <v>9.8550000000000004</v>
      </c>
      <c r="K12" s="13" t="s">
        <v>12</v>
      </c>
      <c r="L12" s="14">
        <v>0.15315171638777811</v>
      </c>
      <c r="O12" s="1"/>
      <c r="P12" s="2"/>
      <c r="Q12" s="1"/>
    </row>
    <row r="13" spans="1:24" x14ac:dyDescent="0.3">
      <c r="A13" s="4">
        <v>38.729999999999997</v>
      </c>
      <c r="B13" s="4">
        <v>3</v>
      </c>
      <c r="C13" s="6">
        <f>+Tabla2[[#This Row],[ tip ]]/Tabla2[[#This Row],[ total_bill ]]</f>
        <v>7.7459333849728904E-2</v>
      </c>
      <c r="D13" s="3" t="s">
        <v>13</v>
      </c>
      <c r="E13" s="3" t="s">
        <v>14</v>
      </c>
      <c r="F13" s="3" t="s">
        <v>17</v>
      </c>
      <c r="G13" s="3" t="s">
        <v>12</v>
      </c>
      <c r="H13" s="3">
        <v>4</v>
      </c>
      <c r="I13" s="7">
        <f>+Tabla2[[#This Row],[ total_bill ]]/Tabla2[[#This Row],[table_size]]</f>
        <v>9.6824999999999992</v>
      </c>
      <c r="K13" s="12" t="s">
        <v>18</v>
      </c>
      <c r="L13" s="14">
        <v>0.16127563396664707</v>
      </c>
      <c r="O13" s="1"/>
      <c r="P13" s="2"/>
      <c r="Q13" s="1"/>
    </row>
    <row r="14" spans="1:24" x14ac:dyDescent="0.3">
      <c r="A14" s="4">
        <v>38.07</v>
      </c>
      <c r="B14" s="4">
        <v>4</v>
      </c>
      <c r="C14" s="6">
        <f>+Tabla2[[#This Row],[ tip ]]/Tabla2[[#This Row],[ total_bill ]]</f>
        <v>0.10506960861570791</v>
      </c>
      <c r="D14" s="3" t="s">
        <v>13</v>
      </c>
      <c r="E14" s="3" t="s">
        <v>10</v>
      </c>
      <c r="F14" s="3" t="s">
        <v>11</v>
      </c>
      <c r="G14" s="3" t="s">
        <v>12</v>
      </c>
      <c r="H14" s="3">
        <v>3</v>
      </c>
      <c r="I14" s="7">
        <f>+Tabla2[[#This Row],[ total_bill ]]/Tabla2[[#This Row],[table_size]]</f>
        <v>12.69</v>
      </c>
      <c r="K14" s="13" t="s">
        <v>12</v>
      </c>
      <c r="L14" s="14">
        <v>0.15974440894568689</v>
      </c>
      <c r="P14" s="2"/>
      <c r="Q14" s="1"/>
    </row>
    <row r="15" spans="1:24" x14ac:dyDescent="0.3">
      <c r="A15" s="4">
        <v>38.01</v>
      </c>
      <c r="B15" s="4">
        <v>3</v>
      </c>
      <c r="C15" s="6">
        <f>+Tabla2[[#This Row],[ tip ]]/Tabla2[[#This Row],[ total_bill ]]</f>
        <v>7.8926598263614839E-2</v>
      </c>
      <c r="D15" s="3" t="s">
        <v>13</v>
      </c>
      <c r="E15" s="3" t="s">
        <v>14</v>
      </c>
      <c r="F15" s="3" t="s">
        <v>17</v>
      </c>
      <c r="G15" s="3" t="s">
        <v>12</v>
      </c>
      <c r="H15" s="3">
        <v>4</v>
      </c>
      <c r="I15" s="7">
        <f>+Tabla2[[#This Row],[ total_bill ]]/Tabla2[[#This Row],[table_size]]</f>
        <v>9.5024999999999995</v>
      </c>
      <c r="K15" s="13" t="s">
        <v>16</v>
      </c>
      <c r="L15" s="14">
        <v>0.16130073601617098</v>
      </c>
      <c r="P15" s="2"/>
      <c r="Q15" s="1"/>
    </row>
    <row r="16" spans="1:24" x14ac:dyDescent="0.3">
      <c r="A16" s="4">
        <v>35.83</v>
      </c>
      <c r="B16" s="4">
        <v>4.67</v>
      </c>
      <c r="C16" s="6">
        <f>+Tabla2[[#This Row],[ tip ]]/Tabla2[[#This Row],[ total_bill ]]</f>
        <v>0.13033770583310075</v>
      </c>
      <c r="D16" s="3" t="s">
        <v>9</v>
      </c>
      <c r="E16" s="3" t="s">
        <v>10</v>
      </c>
      <c r="F16" s="3" t="s">
        <v>17</v>
      </c>
      <c r="G16" s="3" t="s">
        <v>12</v>
      </c>
      <c r="H16" s="3">
        <v>3</v>
      </c>
      <c r="I16" s="7">
        <f>+Tabla2[[#This Row],[ total_bill ]]/Tabla2[[#This Row],[table_size]]</f>
        <v>11.943333333333333</v>
      </c>
      <c r="P16" s="2"/>
      <c r="Q16" s="1"/>
    </row>
    <row r="17" spans="1:28" x14ac:dyDescent="0.3">
      <c r="A17" s="4">
        <v>35.26</v>
      </c>
      <c r="B17" s="4">
        <v>5</v>
      </c>
      <c r="C17" s="6">
        <f>+Tabla2[[#This Row],[ tip ]]/Tabla2[[#This Row],[ total_bill ]]</f>
        <v>0.14180374361883155</v>
      </c>
      <c r="D17" s="3" t="s">
        <v>9</v>
      </c>
      <c r="E17" s="3" t="s">
        <v>10</v>
      </c>
      <c r="F17" s="3" t="s">
        <v>11</v>
      </c>
      <c r="G17" s="3" t="s">
        <v>12</v>
      </c>
      <c r="H17" s="3">
        <v>4</v>
      </c>
      <c r="I17" s="7">
        <f>+Tabla2[[#This Row],[ total_bill ]]/Tabla2[[#This Row],[table_size]]</f>
        <v>8.8149999999999995</v>
      </c>
      <c r="K17" s="11" t="s">
        <v>25</v>
      </c>
      <c r="L17" t="s">
        <v>8</v>
      </c>
      <c r="O17" s="1"/>
      <c r="P17" s="2"/>
      <c r="Q17" s="1"/>
    </row>
    <row r="18" spans="1:28" x14ac:dyDescent="0.3">
      <c r="A18" s="4">
        <v>34.83</v>
      </c>
      <c r="B18" s="4">
        <v>5.17</v>
      </c>
      <c r="C18" s="6">
        <f>+Tabla2[[#This Row],[ tip ]]/Tabla2[[#This Row],[ total_bill ]]</f>
        <v>0.14843525696238874</v>
      </c>
      <c r="D18" s="3" t="s">
        <v>9</v>
      </c>
      <c r="E18" s="3" t="s">
        <v>10</v>
      </c>
      <c r="F18" s="3" t="s">
        <v>18</v>
      </c>
      <c r="G18" s="3" t="s">
        <v>16</v>
      </c>
      <c r="H18" s="3">
        <v>4</v>
      </c>
      <c r="I18" s="7">
        <f>+Tabla2[[#This Row],[ total_bill ]]/Tabla2[[#This Row],[table_size]]</f>
        <v>8.7074999999999996</v>
      </c>
      <c r="K18" s="12" t="s">
        <v>12</v>
      </c>
      <c r="L18" s="14">
        <v>0.1595177887797774</v>
      </c>
      <c r="O18" s="1"/>
      <c r="P18" s="2"/>
      <c r="Q18" s="1"/>
    </row>
    <row r="19" spans="1:28" x14ac:dyDescent="0.3">
      <c r="A19" s="4">
        <v>34.81</v>
      </c>
      <c r="B19" s="4">
        <v>5.2</v>
      </c>
      <c r="C19" s="6">
        <f>+Tabla2[[#This Row],[ tip ]]/Tabla2[[#This Row],[ total_bill ]]</f>
        <v>0.14938236139040506</v>
      </c>
      <c r="D19" s="3" t="s">
        <v>9</v>
      </c>
      <c r="E19" s="3" t="s">
        <v>10</v>
      </c>
      <c r="F19" s="3" t="s">
        <v>11</v>
      </c>
      <c r="G19" s="3" t="s">
        <v>12</v>
      </c>
      <c r="H19" s="3">
        <v>4</v>
      </c>
      <c r="I19" s="7">
        <f>+Tabla2[[#This Row],[ total_bill ]]/Tabla2[[#This Row],[table_size]]</f>
        <v>8.7025000000000006</v>
      </c>
      <c r="K19" s="12" t="s">
        <v>16</v>
      </c>
      <c r="L19" s="14">
        <v>0.1641279281625049</v>
      </c>
      <c r="O19" s="1"/>
      <c r="P19" s="2"/>
      <c r="Q19" s="1"/>
    </row>
    <row r="20" spans="1:28" x14ac:dyDescent="0.3">
      <c r="A20" s="4">
        <v>34.65</v>
      </c>
      <c r="B20" s="4">
        <v>3.68</v>
      </c>
      <c r="C20" s="6">
        <f>+Tabla2[[#This Row],[ tip ]]/Tabla2[[#This Row],[ total_bill ]]</f>
        <v>0.10620490620490622</v>
      </c>
      <c r="D20" s="3" t="s">
        <v>13</v>
      </c>
      <c r="E20" s="3" t="s">
        <v>14</v>
      </c>
      <c r="F20" s="3" t="s">
        <v>11</v>
      </c>
      <c r="G20" s="3" t="s">
        <v>12</v>
      </c>
      <c r="H20" s="3">
        <v>4</v>
      </c>
      <c r="I20" s="7">
        <f>+Tabla2[[#This Row],[ total_bill ]]/Tabla2[[#This Row],[table_size]]</f>
        <v>8.6624999999999996</v>
      </c>
      <c r="O20" s="1"/>
      <c r="P20" s="2"/>
      <c r="Q20" s="1"/>
    </row>
    <row r="21" spans="1:28" x14ac:dyDescent="0.3">
      <c r="A21" s="4">
        <v>34.630000000000003</v>
      </c>
      <c r="B21" s="4">
        <v>3.55</v>
      </c>
      <c r="C21" s="6">
        <f>+Tabla2[[#This Row],[ tip ]]/Tabla2[[#This Row],[ total_bill ]]</f>
        <v>0.102512272596015</v>
      </c>
      <c r="D21" s="3" t="s">
        <v>13</v>
      </c>
      <c r="E21" s="3" t="s">
        <v>14</v>
      </c>
      <c r="F21" s="3" t="s">
        <v>11</v>
      </c>
      <c r="G21" s="3" t="s">
        <v>12</v>
      </c>
      <c r="H21" s="3">
        <v>2</v>
      </c>
      <c r="I21" s="7">
        <f>+Tabla2[[#This Row],[ total_bill ]]/Tabla2[[#This Row],[table_size]]</f>
        <v>17.315000000000001</v>
      </c>
      <c r="K21" s="11" t="s">
        <v>24</v>
      </c>
      <c r="L21" t="s">
        <v>8</v>
      </c>
      <c r="O21" s="1"/>
      <c r="P21" s="2"/>
      <c r="Q21" s="1"/>
    </row>
    <row r="22" spans="1:28" x14ac:dyDescent="0.3">
      <c r="A22" s="4">
        <v>34.299999999999997</v>
      </c>
      <c r="B22" s="4">
        <v>6.7</v>
      </c>
      <c r="C22" s="6">
        <f>+Tabla2[[#This Row],[ tip ]]/Tabla2[[#This Row],[ total_bill ]]</f>
        <v>0.19533527696793004</v>
      </c>
      <c r="D22" s="3" t="s">
        <v>13</v>
      </c>
      <c r="E22" s="3" t="s">
        <v>10</v>
      </c>
      <c r="F22" s="3" t="s">
        <v>18</v>
      </c>
      <c r="G22" s="3" t="s">
        <v>16</v>
      </c>
      <c r="H22" s="3">
        <v>6</v>
      </c>
      <c r="I22" s="7">
        <f>+Tabla2[[#This Row],[ total_bill ]]/Tabla2[[#This Row],[table_size]]</f>
        <v>5.7166666666666659</v>
      </c>
      <c r="K22" s="12">
        <v>1</v>
      </c>
      <c r="L22" s="14">
        <v>0.21729201548727811</v>
      </c>
    </row>
    <row r="23" spans="1:28" x14ac:dyDescent="0.3">
      <c r="A23" s="4">
        <v>32.9</v>
      </c>
      <c r="B23" s="4">
        <v>3.11</v>
      </c>
      <c r="C23" s="6">
        <f>+Tabla2[[#This Row],[ tip ]]/Tabla2[[#This Row],[ total_bill ]]</f>
        <v>9.4528875379939203E-2</v>
      </c>
      <c r="D23" s="3" t="s">
        <v>13</v>
      </c>
      <c r="E23" s="3" t="s">
        <v>14</v>
      </c>
      <c r="F23" s="3" t="s">
        <v>11</v>
      </c>
      <c r="G23" s="3" t="s">
        <v>12</v>
      </c>
      <c r="H23" s="3">
        <v>2</v>
      </c>
      <c r="I23" s="7">
        <f>+Tabla2[[#This Row],[ total_bill ]]/Tabla2[[#This Row],[table_size]]</f>
        <v>16.45</v>
      </c>
      <c r="K23" s="12">
        <v>2</v>
      </c>
      <c r="L23" s="14">
        <v>0.16571919173482896</v>
      </c>
      <c r="AB23" t="s">
        <v>27</v>
      </c>
    </row>
    <row r="24" spans="1:28" x14ac:dyDescent="0.3">
      <c r="A24" s="4">
        <v>32.83</v>
      </c>
      <c r="B24" s="4">
        <v>1.17</v>
      </c>
      <c r="C24" s="6">
        <f>+Tabla2[[#This Row],[ tip ]]/Tabla2[[#This Row],[ total_bill ]]</f>
        <v>3.5638135851355467E-2</v>
      </c>
      <c r="D24" s="3" t="s">
        <v>13</v>
      </c>
      <c r="E24" s="3" t="s">
        <v>14</v>
      </c>
      <c r="F24" s="3" t="s">
        <v>17</v>
      </c>
      <c r="G24" s="3" t="s">
        <v>12</v>
      </c>
      <c r="H24" s="3">
        <v>2</v>
      </c>
      <c r="I24" s="7">
        <f>+Tabla2[[#This Row],[ total_bill ]]/Tabla2[[#This Row],[table_size]]</f>
        <v>16.414999999999999</v>
      </c>
      <c r="K24" s="12">
        <v>3</v>
      </c>
      <c r="L24" s="14">
        <v>0.15215685473711829</v>
      </c>
    </row>
    <row r="25" spans="1:28" x14ac:dyDescent="0.3">
      <c r="A25" s="4">
        <v>32.68</v>
      </c>
      <c r="B25" s="4">
        <v>5</v>
      </c>
      <c r="C25" s="6">
        <f>+Tabla2[[#This Row],[ tip ]]/Tabla2[[#This Row],[ total_bill ]]</f>
        <v>0.15299877600979192</v>
      </c>
      <c r="D25" s="3" t="s">
        <v>13</v>
      </c>
      <c r="E25" s="3" t="s">
        <v>14</v>
      </c>
      <c r="F25" s="3" t="s">
        <v>18</v>
      </c>
      <c r="G25" s="3" t="s">
        <v>16</v>
      </c>
      <c r="H25" s="3">
        <v>2</v>
      </c>
      <c r="I25" s="7">
        <f>+Tabla2[[#This Row],[ total_bill ]]/Tabla2[[#This Row],[table_size]]</f>
        <v>16.34</v>
      </c>
      <c r="K25" s="12">
        <v>4</v>
      </c>
      <c r="L25" s="14">
        <v>0.14594900639351333</v>
      </c>
      <c r="W25" t="s">
        <v>23</v>
      </c>
    </row>
    <row r="26" spans="1:28" x14ac:dyDescent="0.3">
      <c r="A26" s="4">
        <v>32.4</v>
      </c>
      <c r="B26" s="4">
        <v>6</v>
      </c>
      <c r="C26" s="6">
        <f>+Tabla2[[#This Row],[ tip ]]/Tabla2[[#This Row],[ total_bill ]]</f>
        <v>0.1851851851851852</v>
      </c>
      <c r="D26" s="3" t="s">
        <v>13</v>
      </c>
      <c r="E26" s="3" t="s">
        <v>10</v>
      </c>
      <c r="F26" s="3" t="s">
        <v>11</v>
      </c>
      <c r="G26" s="3" t="s">
        <v>12</v>
      </c>
      <c r="H26" s="3">
        <v>4</v>
      </c>
      <c r="I26" s="7">
        <f>+Tabla2[[#This Row],[ total_bill ]]/Tabla2[[#This Row],[table_size]]</f>
        <v>8.1</v>
      </c>
      <c r="K26" s="12">
        <v>5</v>
      </c>
      <c r="L26" s="14">
        <v>0.14149548965142023</v>
      </c>
      <c r="O26" s="1"/>
      <c r="P26" s="1"/>
      <c r="Q26" s="2"/>
    </row>
    <row r="27" spans="1:28" x14ac:dyDescent="0.3">
      <c r="A27" s="4">
        <v>31.85</v>
      </c>
      <c r="B27" s="4">
        <v>3.18</v>
      </c>
      <c r="C27" s="6">
        <f>+Tabla2[[#This Row],[ tip ]]/Tabla2[[#This Row],[ total_bill ]]</f>
        <v>9.9843014128728411E-2</v>
      </c>
      <c r="D27" s="3" t="s">
        <v>13</v>
      </c>
      <c r="E27" s="3" t="s">
        <v>14</v>
      </c>
      <c r="F27" s="3" t="s">
        <v>11</v>
      </c>
      <c r="G27" s="3" t="s">
        <v>12</v>
      </c>
      <c r="H27" s="3">
        <v>2</v>
      </c>
      <c r="I27" s="7">
        <f>+Tabla2[[#This Row],[ total_bill ]]/Tabla2[[#This Row],[table_size]]</f>
        <v>15.925000000000001</v>
      </c>
      <c r="K27" s="12">
        <v>6</v>
      </c>
      <c r="L27" s="14">
        <v>0.15622920072028379</v>
      </c>
      <c r="O27" s="1"/>
      <c r="P27" s="1"/>
      <c r="Q27" s="2"/>
    </row>
    <row r="28" spans="1:28" x14ac:dyDescent="0.3">
      <c r="A28" s="4">
        <v>31.71</v>
      </c>
      <c r="B28" s="4">
        <v>4.5</v>
      </c>
      <c r="C28" s="6">
        <f>+Tabla2[[#This Row],[ tip ]]/Tabla2[[#This Row],[ total_bill ]]</f>
        <v>0.14191106906338694</v>
      </c>
      <c r="D28" s="3" t="s">
        <v>13</v>
      </c>
      <c r="E28" s="3" t="s">
        <v>10</v>
      </c>
      <c r="F28" s="3" t="s">
        <v>11</v>
      </c>
      <c r="G28" s="3" t="s">
        <v>12</v>
      </c>
      <c r="H28" s="3">
        <v>4</v>
      </c>
      <c r="I28" s="7">
        <f>+Tabla2[[#This Row],[ total_bill ]]/Tabla2[[#This Row],[table_size]]</f>
        <v>7.9275000000000002</v>
      </c>
      <c r="O28" s="1"/>
      <c r="P28" s="1"/>
      <c r="Q28" s="2"/>
    </row>
    <row r="29" spans="1:28" x14ac:dyDescent="0.3">
      <c r="A29" s="4">
        <v>31.27</v>
      </c>
      <c r="B29" s="4">
        <v>5</v>
      </c>
      <c r="C29" s="6">
        <f>+Tabla2[[#This Row],[ tip ]]/Tabla2[[#This Row],[ total_bill ]]</f>
        <v>0.1598976654940838</v>
      </c>
      <c r="D29" s="3" t="s">
        <v>13</v>
      </c>
      <c r="E29" s="3" t="s">
        <v>10</v>
      </c>
      <c r="F29" s="3" t="s">
        <v>17</v>
      </c>
      <c r="G29" s="3" t="s">
        <v>12</v>
      </c>
      <c r="H29" s="3">
        <v>3</v>
      </c>
      <c r="I29" s="7">
        <f>+Tabla2[[#This Row],[ total_bill ]]/Tabla2[[#This Row],[table_size]]</f>
        <v>10.423333333333334</v>
      </c>
      <c r="K29" s="11" t="s">
        <v>26</v>
      </c>
      <c r="L29" t="s">
        <v>8</v>
      </c>
      <c r="O29" s="1"/>
      <c r="P29" s="1"/>
      <c r="Q29" s="2"/>
    </row>
    <row r="30" spans="1:28" x14ac:dyDescent="0.3">
      <c r="A30" s="4">
        <v>30.46</v>
      </c>
      <c r="B30" s="4">
        <v>2</v>
      </c>
      <c r="C30" s="6">
        <f>+Tabla2[[#This Row],[ tip ]]/Tabla2[[#This Row],[ total_bill ]]</f>
        <v>6.5659881812212731E-2</v>
      </c>
      <c r="D30" s="3" t="s">
        <v>13</v>
      </c>
      <c r="E30" s="3" t="s">
        <v>14</v>
      </c>
      <c r="F30" s="3" t="s">
        <v>11</v>
      </c>
      <c r="G30" s="3" t="s">
        <v>12</v>
      </c>
      <c r="H30" s="3">
        <v>5</v>
      </c>
      <c r="I30" s="7">
        <f>+Tabla2[[#This Row],[ total_bill ]]/Tabla2[[#This Row],[table_size]]</f>
        <v>6.0920000000000005</v>
      </c>
      <c r="K30" s="12" t="s">
        <v>9</v>
      </c>
      <c r="L30" s="14">
        <v>0.16649073632892472</v>
      </c>
      <c r="O30" s="1"/>
      <c r="P30" s="1"/>
      <c r="Q30" s="2"/>
    </row>
    <row r="31" spans="1:28" x14ac:dyDescent="0.3">
      <c r="A31" s="4">
        <v>30.4</v>
      </c>
      <c r="B31" s="4">
        <v>5.6</v>
      </c>
      <c r="C31" s="6">
        <f>+Tabla2[[#This Row],[ tip ]]/Tabla2[[#This Row],[ total_bill ]]</f>
        <v>0.18421052631578946</v>
      </c>
      <c r="D31" s="3" t="s">
        <v>13</v>
      </c>
      <c r="E31" s="3" t="s">
        <v>10</v>
      </c>
      <c r="F31" s="3" t="s">
        <v>11</v>
      </c>
      <c r="G31" s="3" t="s">
        <v>12</v>
      </c>
      <c r="H31" s="3">
        <v>4</v>
      </c>
      <c r="I31" s="7">
        <f>+Tabla2[[#This Row],[ total_bill ]]/Tabla2[[#This Row],[table_size]]</f>
        <v>7.6</v>
      </c>
      <c r="K31" s="13" t="s">
        <v>10</v>
      </c>
      <c r="L31" s="14">
        <v>0.1569209707691836</v>
      </c>
      <c r="O31" s="1"/>
      <c r="P31" s="1"/>
      <c r="Q31" s="2"/>
    </row>
    <row r="32" spans="1:28" x14ac:dyDescent="0.3">
      <c r="A32" s="4">
        <v>30.14</v>
      </c>
      <c r="B32" s="4">
        <v>3.09</v>
      </c>
      <c r="C32" s="6">
        <f>+Tabla2[[#This Row],[ tip ]]/Tabla2[[#This Row],[ total_bill ]]</f>
        <v>0.10252156602521566</v>
      </c>
      <c r="D32" s="3" t="s">
        <v>9</v>
      </c>
      <c r="E32" s="3" t="s">
        <v>14</v>
      </c>
      <c r="F32" s="3" t="s">
        <v>17</v>
      </c>
      <c r="G32" s="3" t="s">
        <v>12</v>
      </c>
      <c r="H32" s="3">
        <v>4</v>
      </c>
      <c r="I32" s="7">
        <f>+Tabla2[[#This Row],[ total_bill ]]/Tabla2[[#This Row],[table_size]]</f>
        <v>7.5350000000000001</v>
      </c>
      <c r="K32" s="13" t="s">
        <v>14</v>
      </c>
      <c r="L32" s="14">
        <v>0.1821503526994103</v>
      </c>
      <c r="O32" s="1"/>
      <c r="P32" s="1"/>
      <c r="Q32" s="2"/>
    </row>
    <row r="33" spans="1:17" x14ac:dyDescent="0.3">
      <c r="A33" s="4">
        <v>30.06</v>
      </c>
      <c r="B33" s="4">
        <v>2</v>
      </c>
      <c r="C33" s="6">
        <f>+Tabla2[[#This Row],[ tip ]]/Tabla2[[#This Row],[ total_bill ]]</f>
        <v>6.6533599467731214E-2</v>
      </c>
      <c r="D33" s="3" t="s">
        <v>13</v>
      </c>
      <c r="E33" s="3" t="s">
        <v>14</v>
      </c>
      <c r="F33" s="3" t="s">
        <v>17</v>
      </c>
      <c r="G33" s="3" t="s">
        <v>12</v>
      </c>
      <c r="H33" s="3">
        <v>3</v>
      </c>
      <c r="I33" s="7">
        <f>+Tabla2[[#This Row],[ total_bill ]]/Tabla2[[#This Row],[table_size]]</f>
        <v>10.02</v>
      </c>
      <c r="K33" s="12" t="s">
        <v>13</v>
      </c>
      <c r="L33" s="14">
        <v>0.15765054700429748</v>
      </c>
      <c r="O33" s="1"/>
      <c r="P33" s="1"/>
      <c r="Q33" s="2"/>
    </row>
    <row r="34" spans="1:17" x14ac:dyDescent="0.3">
      <c r="A34" s="4">
        <v>29.93</v>
      </c>
      <c r="B34" s="4">
        <v>5.07</v>
      </c>
      <c r="C34" s="6">
        <f>+Tabla2[[#This Row],[ tip ]]/Tabla2[[#This Row],[ total_bill ]]</f>
        <v>0.1693952555963916</v>
      </c>
      <c r="D34" s="3" t="s">
        <v>13</v>
      </c>
      <c r="E34" s="3" t="s">
        <v>10</v>
      </c>
      <c r="F34" s="3" t="s">
        <v>11</v>
      </c>
      <c r="G34" s="3" t="s">
        <v>12</v>
      </c>
      <c r="H34" s="3">
        <v>4</v>
      </c>
      <c r="I34" s="7">
        <f>+Tabla2[[#This Row],[ total_bill ]]/Tabla2[[#This Row],[table_size]]</f>
        <v>7.4824999999999999</v>
      </c>
      <c r="K34" s="13" t="s">
        <v>10</v>
      </c>
      <c r="L34" s="14">
        <v>0.16066871512912978</v>
      </c>
      <c r="O34" s="1"/>
      <c r="P34" s="1"/>
      <c r="Q34" s="2"/>
    </row>
    <row r="35" spans="1:17" x14ac:dyDescent="0.3">
      <c r="A35" s="4">
        <v>29.85</v>
      </c>
      <c r="B35" s="4">
        <v>5.14</v>
      </c>
      <c r="C35" s="6">
        <f>+Tabla2[[#This Row],[ tip ]]/Tabla2[[#This Row],[ total_bill ]]</f>
        <v>0.17219430485762141</v>
      </c>
      <c r="D35" s="3" t="s">
        <v>9</v>
      </c>
      <c r="E35" s="3" t="s">
        <v>10</v>
      </c>
      <c r="F35" s="3" t="s">
        <v>11</v>
      </c>
      <c r="G35" s="3" t="s">
        <v>12</v>
      </c>
      <c r="H35" s="3">
        <v>5</v>
      </c>
      <c r="I35" s="7">
        <f>+Tabla2[[#This Row],[ total_bill ]]/Tabla2[[#This Row],[table_size]]</f>
        <v>5.9700000000000006</v>
      </c>
      <c r="K35" s="13" t="s">
        <v>14</v>
      </c>
      <c r="L35" s="14">
        <v>0.15277117520248507</v>
      </c>
      <c r="O35" s="1"/>
      <c r="P35" s="1"/>
      <c r="Q35" s="2"/>
    </row>
    <row r="36" spans="1:17" x14ac:dyDescent="0.3">
      <c r="A36" s="4">
        <v>29.8</v>
      </c>
      <c r="B36" s="4">
        <v>4.2</v>
      </c>
      <c r="C36" s="6">
        <f>+Tabla2[[#This Row],[ tip ]]/Tabla2[[#This Row],[ total_bill ]]</f>
        <v>0.14093959731543623</v>
      </c>
      <c r="D36" s="3" t="s">
        <v>9</v>
      </c>
      <c r="E36" s="3" t="s">
        <v>10</v>
      </c>
      <c r="F36" s="3" t="s">
        <v>18</v>
      </c>
      <c r="G36" s="3" t="s">
        <v>16</v>
      </c>
      <c r="H36" s="3">
        <v>6</v>
      </c>
      <c r="I36" s="7">
        <f>+Tabla2[[#This Row],[ total_bill ]]/Tabla2[[#This Row],[table_size]]</f>
        <v>4.9666666666666668</v>
      </c>
      <c r="O36" s="1"/>
      <c r="P36" s="1"/>
      <c r="Q36" s="2"/>
    </row>
    <row r="37" spans="1:17" x14ac:dyDescent="0.3">
      <c r="A37" s="4">
        <v>29.03</v>
      </c>
      <c r="B37" s="4">
        <v>5.92</v>
      </c>
      <c r="C37" s="6">
        <f>+Tabla2[[#This Row],[ tip ]]/Tabla2[[#This Row],[ total_bill ]]</f>
        <v>0.20392697209782981</v>
      </c>
      <c r="D37" s="3" t="s">
        <v>13</v>
      </c>
      <c r="E37" s="3" t="s">
        <v>10</v>
      </c>
      <c r="F37" s="3" t="s">
        <v>17</v>
      </c>
      <c r="G37" s="3" t="s">
        <v>12</v>
      </c>
      <c r="H37" s="3">
        <v>3</v>
      </c>
      <c r="I37" s="7">
        <f>+Tabla2[[#This Row],[ total_bill ]]/Tabla2[[#This Row],[table_size]]</f>
        <v>9.6766666666666676</v>
      </c>
      <c r="K37" s="11" t="s">
        <v>26</v>
      </c>
      <c r="L37" t="s">
        <v>21</v>
      </c>
      <c r="O37" s="1"/>
      <c r="P37" s="1"/>
      <c r="Q37" s="2"/>
    </row>
    <row r="38" spans="1:17" x14ac:dyDescent="0.3">
      <c r="A38" s="4">
        <v>28.97</v>
      </c>
      <c r="B38" s="4">
        <v>3</v>
      </c>
      <c r="C38" s="6">
        <f>+Tabla2[[#This Row],[ tip ]]/Tabla2[[#This Row],[ total_bill ]]</f>
        <v>0.10355540214014498</v>
      </c>
      <c r="D38" s="3" t="s">
        <v>13</v>
      </c>
      <c r="E38" s="3" t="s">
        <v>14</v>
      </c>
      <c r="F38" s="3" t="s">
        <v>15</v>
      </c>
      <c r="G38" s="3" t="s">
        <v>12</v>
      </c>
      <c r="H38" s="3">
        <v>2</v>
      </c>
      <c r="I38" s="7">
        <f>+Tabla2[[#This Row],[ total_bill ]]/Tabla2[[#This Row],[table_size]]</f>
        <v>14.484999999999999</v>
      </c>
      <c r="K38" s="12" t="s">
        <v>12</v>
      </c>
      <c r="L38" s="14">
        <v>0.15951778877977738</v>
      </c>
    </row>
    <row r="39" spans="1:17" x14ac:dyDescent="0.3">
      <c r="A39" s="4">
        <v>28.55</v>
      </c>
      <c r="B39" s="4">
        <v>2.0499999999999998</v>
      </c>
      <c r="C39" s="6">
        <f>+Tabla2[[#This Row],[ tip ]]/Tabla2[[#This Row],[ total_bill ]]</f>
        <v>7.1803852889667244E-2</v>
      </c>
      <c r="D39" s="3" t="s">
        <v>13</v>
      </c>
      <c r="E39" s="3" t="s">
        <v>10</v>
      </c>
      <c r="F39" s="3" t="s">
        <v>11</v>
      </c>
      <c r="G39" s="3" t="s">
        <v>12</v>
      </c>
      <c r="H39" s="3">
        <v>3</v>
      </c>
      <c r="I39" s="7">
        <f>+Tabla2[[#This Row],[ total_bill ]]/Tabla2[[#This Row],[table_size]]</f>
        <v>9.5166666666666675</v>
      </c>
      <c r="K39" s="13" t="s">
        <v>10</v>
      </c>
      <c r="L39" s="14">
        <v>0.15865277216988441</v>
      </c>
    </row>
    <row r="40" spans="1:17" x14ac:dyDescent="0.3">
      <c r="A40" s="4">
        <v>28.44</v>
      </c>
      <c r="B40" s="4">
        <v>2.56</v>
      </c>
      <c r="C40" s="6">
        <f>+Tabla2[[#This Row],[ tip ]]/Tabla2[[#This Row],[ total_bill ]]</f>
        <v>9.0014064697609003E-2</v>
      </c>
      <c r="D40" s="3" t="s">
        <v>13</v>
      </c>
      <c r="E40" s="3" t="s">
        <v>14</v>
      </c>
      <c r="F40" s="3" t="s">
        <v>18</v>
      </c>
      <c r="G40" s="3" t="s">
        <v>16</v>
      </c>
      <c r="H40" s="3">
        <v>2</v>
      </c>
      <c r="I40" s="7">
        <f>+Tabla2[[#This Row],[ total_bill ]]/Tabla2[[#This Row],[table_size]]</f>
        <v>14.22</v>
      </c>
      <c r="K40" s="13" t="s">
        <v>14</v>
      </c>
      <c r="L40" s="14">
        <v>0.16082767107475798</v>
      </c>
    </row>
    <row r="41" spans="1:17" x14ac:dyDescent="0.3">
      <c r="A41" s="4">
        <v>28.17</v>
      </c>
      <c r="B41" s="4">
        <v>6.5</v>
      </c>
      <c r="C41" s="6">
        <f>+Tabla2[[#This Row],[ tip ]]/Tabla2[[#This Row],[ total_bill ]]</f>
        <v>0.23074192403265883</v>
      </c>
      <c r="D41" s="3" t="s">
        <v>9</v>
      </c>
      <c r="E41" s="3" t="s">
        <v>14</v>
      </c>
      <c r="F41" s="3" t="s">
        <v>17</v>
      </c>
      <c r="G41" s="3" t="s">
        <v>12</v>
      </c>
      <c r="H41" s="3">
        <v>3</v>
      </c>
      <c r="I41" s="7">
        <f>+Tabla2[[#This Row],[ total_bill ]]/Tabla2[[#This Row],[table_size]]</f>
        <v>9.39</v>
      </c>
      <c r="K41" s="12" t="s">
        <v>16</v>
      </c>
      <c r="L41" s="14">
        <v>0.16412792816250496</v>
      </c>
    </row>
    <row r="42" spans="1:17" x14ac:dyDescent="0.3">
      <c r="A42" s="4">
        <v>28.15</v>
      </c>
      <c r="B42" s="4">
        <v>3</v>
      </c>
      <c r="C42" s="6">
        <f>+Tabla2[[#This Row],[ tip ]]/Tabla2[[#This Row],[ total_bill ]]</f>
        <v>0.10657193605683837</v>
      </c>
      <c r="D42" s="3" t="s">
        <v>13</v>
      </c>
      <c r="E42" s="3" t="s">
        <v>14</v>
      </c>
      <c r="F42" s="3" t="s">
        <v>17</v>
      </c>
      <c r="G42" s="3" t="s">
        <v>12</v>
      </c>
      <c r="H42" s="3">
        <v>5</v>
      </c>
      <c r="I42" s="7">
        <f>+Tabla2[[#This Row],[ total_bill ]]/Tabla2[[#This Row],[table_size]]</f>
        <v>5.63</v>
      </c>
      <c r="K42" s="13" t="s">
        <v>10</v>
      </c>
      <c r="L42" s="14">
        <v>0.16092008753452777</v>
      </c>
    </row>
    <row r="43" spans="1:17" x14ac:dyDescent="0.3">
      <c r="A43" s="4">
        <v>27.28</v>
      </c>
      <c r="B43" s="4">
        <v>4</v>
      </c>
      <c r="C43" s="6">
        <f>+Tabla2[[#This Row],[ tip ]]/Tabla2[[#This Row],[ total_bill ]]</f>
        <v>0.14662756598240467</v>
      </c>
      <c r="D43" s="3" t="s">
        <v>13</v>
      </c>
      <c r="E43" s="3" t="s">
        <v>14</v>
      </c>
      <c r="F43" s="3" t="s">
        <v>15</v>
      </c>
      <c r="G43" s="3" t="s">
        <v>12</v>
      </c>
      <c r="H43" s="3">
        <v>2</v>
      </c>
      <c r="I43" s="7">
        <f>+Tabla2[[#This Row],[ total_bill ]]/Tabla2[[#This Row],[table_size]]</f>
        <v>13.64</v>
      </c>
      <c r="K43" s="13" t="s">
        <v>14</v>
      </c>
      <c r="L43" s="14">
        <v>0.17040413808680813</v>
      </c>
    </row>
    <row r="44" spans="1:17" x14ac:dyDescent="0.3">
      <c r="A44" s="4">
        <v>27.2</v>
      </c>
      <c r="B44" s="4">
        <v>4</v>
      </c>
      <c r="C44" s="6">
        <f>+Tabla2[[#This Row],[ tip ]]/Tabla2[[#This Row],[ total_bill ]]</f>
        <v>0.14705882352941177</v>
      </c>
      <c r="D44" s="3" t="s">
        <v>13</v>
      </c>
      <c r="E44" s="3" t="s">
        <v>10</v>
      </c>
      <c r="F44" s="3" t="s">
        <v>18</v>
      </c>
      <c r="G44" s="3" t="s">
        <v>16</v>
      </c>
      <c r="H44" s="3">
        <v>4</v>
      </c>
      <c r="I44" s="7">
        <f>+Tabla2[[#This Row],[ total_bill ]]/Tabla2[[#This Row],[table_size]]</f>
        <v>6.8</v>
      </c>
    </row>
    <row r="45" spans="1:17" x14ac:dyDescent="0.3">
      <c r="A45" s="4">
        <v>27.18</v>
      </c>
      <c r="B45" s="4">
        <v>2</v>
      </c>
      <c r="C45" s="6">
        <f>+Tabla2[[#This Row],[ tip ]]/Tabla2[[#This Row],[ total_bill ]]</f>
        <v>7.358351729212656E-2</v>
      </c>
      <c r="D45" s="3" t="s">
        <v>9</v>
      </c>
      <c r="E45" s="3" t="s">
        <v>14</v>
      </c>
      <c r="F45" s="3" t="s">
        <v>17</v>
      </c>
      <c r="G45" s="3" t="s">
        <v>12</v>
      </c>
      <c r="H45" s="3">
        <v>2</v>
      </c>
      <c r="I45" s="7">
        <f>+Tabla2[[#This Row],[ total_bill ]]/Tabla2[[#This Row],[table_size]]</f>
        <v>13.59</v>
      </c>
    </row>
    <row r="46" spans="1:17" x14ac:dyDescent="0.3">
      <c r="A46" s="4">
        <v>27.05</v>
      </c>
      <c r="B46" s="4">
        <v>5</v>
      </c>
      <c r="C46" s="6">
        <f>+Tabla2[[#This Row],[ tip ]]/Tabla2[[#This Row],[ total_bill ]]</f>
        <v>0.18484288354898337</v>
      </c>
      <c r="D46" s="3" t="s">
        <v>9</v>
      </c>
      <c r="E46" s="3" t="s">
        <v>10</v>
      </c>
      <c r="F46" s="3" t="s">
        <v>18</v>
      </c>
      <c r="G46" s="3" t="s">
        <v>16</v>
      </c>
      <c r="H46" s="3">
        <v>6</v>
      </c>
      <c r="I46" s="7">
        <f>+Tabla2[[#This Row],[ total_bill ]]/Tabla2[[#This Row],[table_size]]</f>
        <v>4.5083333333333337</v>
      </c>
    </row>
    <row r="47" spans="1:17" x14ac:dyDescent="0.3">
      <c r="A47" s="4">
        <v>26.88</v>
      </c>
      <c r="B47" s="4">
        <v>3.12</v>
      </c>
      <c r="C47" s="6">
        <f>+Tabla2[[#This Row],[ tip ]]/Tabla2[[#This Row],[ total_bill ]]</f>
        <v>0.11607142857142858</v>
      </c>
      <c r="D47" s="3" t="s">
        <v>13</v>
      </c>
      <c r="E47" s="3" t="s">
        <v>10</v>
      </c>
      <c r="F47" s="3" t="s">
        <v>11</v>
      </c>
      <c r="G47" s="3" t="s">
        <v>12</v>
      </c>
      <c r="H47" s="3">
        <v>4</v>
      </c>
      <c r="I47" s="7">
        <f>+Tabla2[[#This Row],[ total_bill ]]/Tabla2[[#This Row],[table_size]]</f>
        <v>6.72</v>
      </c>
    </row>
    <row r="48" spans="1:17" x14ac:dyDescent="0.3">
      <c r="A48" s="4">
        <v>26.86</v>
      </c>
      <c r="B48" s="4">
        <v>3.14</v>
      </c>
      <c r="C48" s="6">
        <f>+Tabla2[[#This Row],[ tip ]]/Tabla2[[#This Row],[ total_bill ]]</f>
        <v>0.11690245718540582</v>
      </c>
      <c r="D48" s="3" t="s">
        <v>9</v>
      </c>
      <c r="E48" s="3" t="s">
        <v>14</v>
      </c>
      <c r="F48" s="3" t="s">
        <v>17</v>
      </c>
      <c r="G48" s="3" t="s">
        <v>12</v>
      </c>
      <c r="H48" s="3">
        <v>2</v>
      </c>
      <c r="I48" s="7">
        <f>+Tabla2[[#This Row],[ total_bill ]]/Tabla2[[#This Row],[table_size]]</f>
        <v>13.43</v>
      </c>
    </row>
    <row r="49" spans="1:9" x14ac:dyDescent="0.3">
      <c r="A49" s="4">
        <v>26.59</v>
      </c>
      <c r="B49" s="4">
        <v>3.41</v>
      </c>
      <c r="C49" s="6">
        <f>+Tabla2[[#This Row],[ tip ]]/Tabla2[[#This Row],[ total_bill ]]</f>
        <v>0.1282437006393381</v>
      </c>
      <c r="D49" s="3" t="s">
        <v>13</v>
      </c>
      <c r="E49" s="3" t="s">
        <v>14</v>
      </c>
      <c r="F49" s="3" t="s">
        <v>17</v>
      </c>
      <c r="G49" s="3" t="s">
        <v>12</v>
      </c>
      <c r="H49" s="3">
        <v>3</v>
      </c>
      <c r="I49" s="7">
        <f>+Tabla2[[#This Row],[ total_bill ]]/Tabla2[[#This Row],[table_size]]</f>
        <v>8.8633333333333333</v>
      </c>
    </row>
    <row r="50" spans="1:9" x14ac:dyDescent="0.3">
      <c r="A50" s="4">
        <v>26.41</v>
      </c>
      <c r="B50" s="4">
        <v>1.5</v>
      </c>
      <c r="C50" s="6">
        <f>+Tabla2[[#This Row],[ tip ]]/Tabla2[[#This Row],[ total_bill ]]</f>
        <v>5.679666792881484E-2</v>
      </c>
      <c r="D50" s="3" t="s">
        <v>9</v>
      </c>
      <c r="E50" s="3" t="s">
        <v>10</v>
      </c>
      <c r="F50" s="3" t="s">
        <v>17</v>
      </c>
      <c r="G50" s="3" t="s">
        <v>12</v>
      </c>
      <c r="H50" s="3">
        <v>2</v>
      </c>
      <c r="I50" s="7">
        <f>+Tabla2[[#This Row],[ total_bill ]]/Tabla2[[#This Row],[table_size]]</f>
        <v>13.205</v>
      </c>
    </row>
    <row r="51" spans="1:9" x14ac:dyDescent="0.3">
      <c r="A51" s="4">
        <v>25.89</v>
      </c>
      <c r="B51" s="4">
        <v>5.16</v>
      </c>
      <c r="C51" s="6">
        <f>+Tabla2[[#This Row],[ tip ]]/Tabla2[[#This Row],[ total_bill ]]</f>
        <v>0.19930475086906141</v>
      </c>
      <c r="D51" s="3" t="s">
        <v>13</v>
      </c>
      <c r="E51" s="3" t="s">
        <v>14</v>
      </c>
      <c r="F51" s="3" t="s">
        <v>17</v>
      </c>
      <c r="G51" s="3" t="s">
        <v>12</v>
      </c>
      <c r="H51" s="3">
        <v>4</v>
      </c>
      <c r="I51" s="7">
        <f>+Tabla2[[#This Row],[ total_bill ]]/Tabla2[[#This Row],[table_size]]</f>
        <v>6.4725000000000001</v>
      </c>
    </row>
    <row r="52" spans="1:9" x14ac:dyDescent="0.3">
      <c r="A52" s="4">
        <v>25.71</v>
      </c>
      <c r="B52" s="4">
        <v>4</v>
      </c>
      <c r="C52" s="6">
        <f>+Tabla2[[#This Row],[ tip ]]/Tabla2[[#This Row],[ total_bill ]]</f>
        <v>0.15558148580318942</v>
      </c>
      <c r="D52" s="3" t="s">
        <v>9</v>
      </c>
      <c r="E52" s="3" t="s">
        <v>10</v>
      </c>
      <c r="F52" s="3" t="s">
        <v>11</v>
      </c>
      <c r="G52" s="3" t="s">
        <v>12</v>
      </c>
      <c r="H52" s="3">
        <v>3</v>
      </c>
      <c r="I52" s="7">
        <f>+Tabla2[[#This Row],[ total_bill ]]/Tabla2[[#This Row],[table_size]]</f>
        <v>8.57</v>
      </c>
    </row>
    <row r="53" spans="1:9" x14ac:dyDescent="0.3">
      <c r="A53" s="4">
        <v>25.56</v>
      </c>
      <c r="B53" s="4">
        <v>4.34</v>
      </c>
      <c r="C53" s="6">
        <f>+Tabla2[[#This Row],[ tip ]]/Tabla2[[#This Row],[ total_bill ]]</f>
        <v>0.16979655712050079</v>
      </c>
      <c r="D53" s="3" t="s">
        <v>13</v>
      </c>
      <c r="E53" s="3" t="s">
        <v>10</v>
      </c>
      <c r="F53" s="3" t="s">
        <v>11</v>
      </c>
      <c r="G53" s="3" t="s">
        <v>12</v>
      </c>
      <c r="H53" s="3">
        <v>4</v>
      </c>
      <c r="I53" s="7">
        <f>+Tabla2[[#This Row],[ total_bill ]]/Tabla2[[#This Row],[table_size]]</f>
        <v>6.39</v>
      </c>
    </row>
    <row r="54" spans="1:9" x14ac:dyDescent="0.3">
      <c r="A54" s="4">
        <v>25.29</v>
      </c>
      <c r="B54" s="4">
        <v>4.71</v>
      </c>
      <c r="C54" s="6">
        <f>+Tabla2[[#This Row],[ tip ]]/Tabla2[[#This Row],[ total_bill ]]</f>
        <v>0.18623962040332148</v>
      </c>
      <c r="D54" s="3" t="s">
        <v>13</v>
      </c>
      <c r="E54" s="3" t="s">
        <v>10</v>
      </c>
      <c r="F54" s="3" t="s">
        <v>11</v>
      </c>
      <c r="G54" s="3" t="s">
        <v>12</v>
      </c>
      <c r="H54" s="3">
        <v>4</v>
      </c>
      <c r="I54" s="7">
        <f>+Tabla2[[#This Row],[ total_bill ]]/Tabla2[[#This Row],[table_size]]</f>
        <v>6.3224999999999998</v>
      </c>
    </row>
    <row r="55" spans="1:9" x14ac:dyDescent="0.3">
      <c r="A55" s="4">
        <v>25.28</v>
      </c>
      <c r="B55" s="4">
        <v>5</v>
      </c>
      <c r="C55" s="6">
        <f>+Tabla2[[#This Row],[ tip ]]/Tabla2[[#This Row],[ total_bill ]]</f>
        <v>0.19778481012658228</v>
      </c>
      <c r="D55" s="3" t="s">
        <v>9</v>
      </c>
      <c r="E55" s="3" t="s">
        <v>14</v>
      </c>
      <c r="F55" s="3" t="s">
        <v>17</v>
      </c>
      <c r="G55" s="3" t="s">
        <v>12</v>
      </c>
      <c r="H55" s="3">
        <v>2</v>
      </c>
      <c r="I55" s="7">
        <f>+Tabla2[[#This Row],[ total_bill ]]/Tabla2[[#This Row],[table_size]]</f>
        <v>12.64</v>
      </c>
    </row>
    <row r="56" spans="1:9" x14ac:dyDescent="0.3">
      <c r="A56" s="4">
        <v>25.21</v>
      </c>
      <c r="B56" s="4">
        <v>4.29</v>
      </c>
      <c r="C56" s="6">
        <f>+Tabla2[[#This Row],[ tip ]]/Tabla2[[#This Row],[ total_bill ]]</f>
        <v>0.17017056723522411</v>
      </c>
      <c r="D56" s="3" t="s">
        <v>13</v>
      </c>
      <c r="E56" s="3" t="s">
        <v>14</v>
      </c>
      <c r="F56" s="3" t="s">
        <v>17</v>
      </c>
      <c r="G56" s="3" t="s">
        <v>12</v>
      </c>
      <c r="H56" s="3">
        <v>2</v>
      </c>
      <c r="I56" s="7">
        <f>+Tabla2[[#This Row],[ total_bill ]]/Tabla2[[#This Row],[table_size]]</f>
        <v>12.605</v>
      </c>
    </row>
    <row r="57" spans="1:9" x14ac:dyDescent="0.3">
      <c r="A57" s="4">
        <v>25</v>
      </c>
      <c r="B57" s="4">
        <v>3.75</v>
      </c>
      <c r="C57" s="6">
        <f>+Tabla2[[#This Row],[ tip ]]/Tabla2[[#This Row],[ total_bill ]]</f>
        <v>0.15</v>
      </c>
      <c r="D57" s="3" t="s">
        <v>9</v>
      </c>
      <c r="E57" s="3" t="s">
        <v>10</v>
      </c>
      <c r="F57" s="3" t="s">
        <v>11</v>
      </c>
      <c r="G57" s="3" t="s">
        <v>12</v>
      </c>
      <c r="H57" s="3">
        <v>4</v>
      </c>
      <c r="I57" s="7">
        <f>+Tabla2[[#This Row],[ total_bill ]]/Tabla2[[#This Row],[table_size]]</f>
        <v>6.25</v>
      </c>
    </row>
    <row r="58" spans="1:9" x14ac:dyDescent="0.3">
      <c r="A58" s="4">
        <v>24.71</v>
      </c>
      <c r="B58" s="4">
        <v>5.85</v>
      </c>
      <c r="C58" s="6">
        <f>+Tabla2[[#This Row],[ tip ]]/Tabla2[[#This Row],[ total_bill ]]</f>
        <v>0.23674625657628487</v>
      </c>
      <c r="D58" s="3" t="s">
        <v>13</v>
      </c>
      <c r="E58" s="3" t="s">
        <v>10</v>
      </c>
      <c r="F58" s="3" t="s">
        <v>18</v>
      </c>
      <c r="G58" s="3" t="s">
        <v>16</v>
      </c>
      <c r="H58" s="3">
        <v>2</v>
      </c>
      <c r="I58" s="7">
        <f>+Tabla2[[#This Row],[ total_bill ]]/Tabla2[[#This Row],[table_size]]</f>
        <v>12.355</v>
      </c>
    </row>
    <row r="59" spans="1:9" x14ac:dyDescent="0.3">
      <c r="A59" s="4">
        <v>24.59</v>
      </c>
      <c r="B59" s="4">
        <v>3.61</v>
      </c>
      <c r="C59" s="6">
        <f>+Tabla2[[#This Row],[ tip ]]/Tabla2[[#This Row],[ total_bill ]]</f>
        <v>0.14680764538430255</v>
      </c>
      <c r="D59" s="3" t="s">
        <v>9</v>
      </c>
      <c r="E59" s="3" t="s">
        <v>10</v>
      </c>
      <c r="F59" s="3" t="s">
        <v>11</v>
      </c>
      <c r="G59" s="3" t="s">
        <v>12</v>
      </c>
      <c r="H59" s="3">
        <v>4</v>
      </c>
      <c r="I59" s="7">
        <f>+Tabla2[[#This Row],[ total_bill ]]/Tabla2[[#This Row],[table_size]]</f>
        <v>6.1475</v>
      </c>
    </row>
    <row r="60" spans="1:9" x14ac:dyDescent="0.3">
      <c r="A60" s="4">
        <v>24.55</v>
      </c>
      <c r="B60" s="4">
        <v>2</v>
      </c>
      <c r="C60" s="6">
        <f>+Tabla2[[#This Row],[ tip ]]/Tabla2[[#This Row],[ total_bill ]]</f>
        <v>8.1466395112016296E-2</v>
      </c>
      <c r="D60" s="3" t="s">
        <v>13</v>
      </c>
      <c r="E60" s="3" t="s">
        <v>10</v>
      </c>
      <c r="F60" s="3" t="s">
        <v>11</v>
      </c>
      <c r="G60" s="3" t="s">
        <v>12</v>
      </c>
      <c r="H60" s="3">
        <v>4</v>
      </c>
      <c r="I60" s="7">
        <f>+Tabla2[[#This Row],[ total_bill ]]/Tabla2[[#This Row],[table_size]]</f>
        <v>6.1375000000000002</v>
      </c>
    </row>
    <row r="61" spans="1:9" x14ac:dyDescent="0.3">
      <c r="A61" s="4">
        <v>24.52</v>
      </c>
      <c r="B61" s="4">
        <v>3.48</v>
      </c>
      <c r="C61" s="6">
        <f>+Tabla2[[#This Row],[ tip ]]/Tabla2[[#This Row],[ total_bill ]]</f>
        <v>0.14192495921696574</v>
      </c>
      <c r="D61" s="3" t="s">
        <v>13</v>
      </c>
      <c r="E61" s="3" t="s">
        <v>10</v>
      </c>
      <c r="F61" s="3" t="s">
        <v>11</v>
      </c>
      <c r="G61" s="3" t="s">
        <v>12</v>
      </c>
      <c r="H61" s="3">
        <v>3</v>
      </c>
      <c r="I61" s="7">
        <f>+Tabla2[[#This Row],[ total_bill ]]/Tabla2[[#This Row],[table_size]]</f>
        <v>8.1733333333333338</v>
      </c>
    </row>
    <row r="62" spans="1:9" x14ac:dyDescent="0.3">
      <c r="A62" s="4">
        <v>24.27</v>
      </c>
      <c r="B62" s="4">
        <v>2.0299999999999998</v>
      </c>
      <c r="C62" s="6">
        <f>+Tabla2[[#This Row],[ tip ]]/Tabla2[[#This Row],[ total_bill ]]</f>
        <v>8.3642356819118246E-2</v>
      </c>
      <c r="D62" s="3" t="s">
        <v>13</v>
      </c>
      <c r="E62" s="3" t="s">
        <v>14</v>
      </c>
      <c r="F62" s="3" t="s">
        <v>17</v>
      </c>
      <c r="G62" s="3" t="s">
        <v>12</v>
      </c>
      <c r="H62" s="3">
        <v>2</v>
      </c>
      <c r="I62" s="7">
        <f>+Tabla2[[#This Row],[ total_bill ]]/Tabla2[[#This Row],[table_size]]</f>
        <v>12.135</v>
      </c>
    </row>
    <row r="63" spans="1:9" x14ac:dyDescent="0.3">
      <c r="A63" s="4">
        <v>24.08</v>
      </c>
      <c r="B63" s="4">
        <v>2.92</v>
      </c>
      <c r="C63" s="6">
        <f>+Tabla2[[#This Row],[ tip ]]/Tabla2[[#This Row],[ total_bill ]]</f>
        <v>0.1212624584717608</v>
      </c>
      <c r="D63" s="3" t="s">
        <v>9</v>
      </c>
      <c r="E63" s="3" t="s">
        <v>10</v>
      </c>
      <c r="F63" s="3" t="s">
        <v>18</v>
      </c>
      <c r="G63" s="3" t="s">
        <v>16</v>
      </c>
      <c r="H63" s="3">
        <v>4</v>
      </c>
      <c r="I63" s="7">
        <f>+Tabla2[[#This Row],[ total_bill ]]/Tabla2[[#This Row],[table_size]]</f>
        <v>6.02</v>
      </c>
    </row>
    <row r="64" spans="1:9" x14ac:dyDescent="0.3">
      <c r="A64" s="4">
        <v>24.06</v>
      </c>
      <c r="B64" s="4">
        <v>3.6</v>
      </c>
      <c r="C64" s="6">
        <f>+Tabla2[[#This Row],[ tip ]]/Tabla2[[#This Row],[ total_bill ]]</f>
        <v>0.14962593516209477</v>
      </c>
      <c r="D64" s="3" t="s">
        <v>13</v>
      </c>
      <c r="E64" s="3" t="s">
        <v>10</v>
      </c>
      <c r="F64" s="3" t="s">
        <v>17</v>
      </c>
      <c r="G64" s="3" t="s">
        <v>12</v>
      </c>
      <c r="H64" s="3">
        <v>3</v>
      </c>
      <c r="I64" s="7">
        <f>+Tabla2[[#This Row],[ total_bill ]]/Tabla2[[#This Row],[table_size]]</f>
        <v>8.02</v>
      </c>
    </row>
    <row r="65" spans="1:9" x14ac:dyDescent="0.3">
      <c r="A65" s="4">
        <v>24.01</v>
      </c>
      <c r="B65" s="4">
        <v>2</v>
      </c>
      <c r="C65" s="6">
        <f>+Tabla2[[#This Row],[ tip ]]/Tabla2[[#This Row],[ total_bill ]]</f>
        <v>8.3298625572678045E-2</v>
      </c>
      <c r="D65" s="3" t="s">
        <v>13</v>
      </c>
      <c r="E65" s="3" t="s">
        <v>14</v>
      </c>
      <c r="F65" s="3" t="s">
        <v>17</v>
      </c>
      <c r="G65" s="3" t="s">
        <v>12</v>
      </c>
      <c r="H65" s="3">
        <v>4</v>
      </c>
      <c r="I65" s="7">
        <f>+Tabla2[[#This Row],[ total_bill ]]/Tabla2[[#This Row],[table_size]]</f>
        <v>6.0025000000000004</v>
      </c>
    </row>
    <row r="66" spans="1:9" x14ac:dyDescent="0.3">
      <c r="A66" s="4">
        <v>23.95</v>
      </c>
      <c r="B66" s="4">
        <v>2.5499999999999998</v>
      </c>
      <c r="C66" s="6">
        <f>+Tabla2[[#This Row],[ tip ]]/Tabla2[[#This Row],[ total_bill ]]</f>
        <v>0.10647181628392484</v>
      </c>
      <c r="D66" s="3" t="s">
        <v>13</v>
      </c>
      <c r="E66" s="3" t="s">
        <v>10</v>
      </c>
      <c r="F66" s="3" t="s">
        <v>11</v>
      </c>
      <c r="G66" s="3" t="s">
        <v>12</v>
      </c>
      <c r="H66" s="3">
        <v>2</v>
      </c>
      <c r="I66" s="7">
        <f>+Tabla2[[#This Row],[ total_bill ]]/Tabla2[[#This Row],[table_size]]</f>
        <v>11.975</v>
      </c>
    </row>
    <row r="67" spans="1:9" x14ac:dyDescent="0.3">
      <c r="A67" s="4">
        <v>23.68</v>
      </c>
      <c r="B67" s="4">
        <v>3.31</v>
      </c>
      <c r="C67" s="6">
        <f>+Tabla2[[#This Row],[ tip ]]/Tabla2[[#This Row],[ total_bill ]]</f>
        <v>0.1397804054054054</v>
      </c>
      <c r="D67" s="3" t="s">
        <v>13</v>
      </c>
      <c r="E67" s="3" t="s">
        <v>10</v>
      </c>
      <c r="F67" s="3" t="s">
        <v>11</v>
      </c>
      <c r="G67" s="3" t="s">
        <v>12</v>
      </c>
      <c r="H67" s="3">
        <v>2</v>
      </c>
      <c r="I67" s="7">
        <f>+Tabla2[[#This Row],[ total_bill ]]/Tabla2[[#This Row],[table_size]]</f>
        <v>11.84</v>
      </c>
    </row>
    <row r="68" spans="1:9" x14ac:dyDescent="0.3">
      <c r="A68" s="4">
        <v>23.33</v>
      </c>
      <c r="B68" s="4">
        <v>5.65</v>
      </c>
      <c r="C68" s="6">
        <f>+Tabla2[[#This Row],[ tip ]]/Tabla2[[#This Row],[ total_bill ]]</f>
        <v>0.24217745392198889</v>
      </c>
      <c r="D68" s="3" t="s">
        <v>13</v>
      </c>
      <c r="E68" s="3" t="s">
        <v>14</v>
      </c>
      <c r="F68" s="3" t="s">
        <v>11</v>
      </c>
      <c r="G68" s="3" t="s">
        <v>12</v>
      </c>
      <c r="H68" s="3">
        <v>2</v>
      </c>
      <c r="I68" s="7">
        <f>+Tabla2[[#This Row],[ total_bill ]]/Tabla2[[#This Row],[table_size]]</f>
        <v>11.664999999999999</v>
      </c>
    </row>
    <row r="69" spans="1:9" x14ac:dyDescent="0.3">
      <c r="A69" s="4">
        <v>23.17</v>
      </c>
      <c r="B69" s="4">
        <v>6.5</v>
      </c>
      <c r="C69" s="6">
        <f>+Tabla2[[#This Row],[ tip ]]/Tabla2[[#This Row],[ total_bill ]]</f>
        <v>0.28053517479499351</v>
      </c>
      <c r="D69" s="3" t="s">
        <v>13</v>
      </c>
      <c r="E69" s="3" t="s">
        <v>14</v>
      </c>
      <c r="F69" s="3" t="s">
        <v>11</v>
      </c>
      <c r="G69" s="3" t="s">
        <v>12</v>
      </c>
      <c r="H69" s="3">
        <v>4</v>
      </c>
      <c r="I69" s="7">
        <f>+Tabla2[[#This Row],[ total_bill ]]/Tabla2[[#This Row],[table_size]]</f>
        <v>5.7925000000000004</v>
      </c>
    </row>
    <row r="70" spans="1:9" x14ac:dyDescent="0.3">
      <c r="A70" s="4">
        <v>23.1</v>
      </c>
      <c r="B70" s="4">
        <v>4</v>
      </c>
      <c r="C70" s="6">
        <f>+Tabla2[[#This Row],[ tip ]]/Tabla2[[#This Row],[ total_bill ]]</f>
        <v>0.17316017316017315</v>
      </c>
      <c r="D70" s="3" t="s">
        <v>13</v>
      </c>
      <c r="E70" s="3" t="s">
        <v>14</v>
      </c>
      <c r="F70" s="3" t="s">
        <v>11</v>
      </c>
      <c r="G70" s="3" t="s">
        <v>12</v>
      </c>
      <c r="H70" s="3">
        <v>3</v>
      </c>
      <c r="I70" s="7">
        <f>+Tabla2[[#This Row],[ total_bill ]]/Tabla2[[#This Row],[table_size]]</f>
        <v>7.7</v>
      </c>
    </row>
    <row r="71" spans="1:9" x14ac:dyDescent="0.3">
      <c r="A71" s="4">
        <v>22.82</v>
      </c>
      <c r="B71" s="4">
        <v>2.1800000000000002</v>
      </c>
      <c r="C71" s="6">
        <f>+Tabla2[[#This Row],[ tip ]]/Tabla2[[#This Row],[ total_bill ]]</f>
        <v>9.5530236634531113E-2</v>
      </c>
      <c r="D71" s="3" t="s">
        <v>13</v>
      </c>
      <c r="E71" s="3" t="s">
        <v>10</v>
      </c>
      <c r="F71" s="3" t="s">
        <v>18</v>
      </c>
      <c r="G71" s="3" t="s">
        <v>16</v>
      </c>
      <c r="H71" s="3">
        <v>3</v>
      </c>
      <c r="I71" s="7">
        <f>+Tabla2[[#This Row],[ total_bill ]]/Tabla2[[#This Row],[table_size]]</f>
        <v>7.6066666666666665</v>
      </c>
    </row>
    <row r="72" spans="1:9" x14ac:dyDescent="0.3">
      <c r="A72" s="4">
        <v>22.76</v>
      </c>
      <c r="B72" s="4">
        <v>3</v>
      </c>
      <c r="C72" s="6">
        <f>+Tabla2[[#This Row],[ tip ]]/Tabla2[[#This Row],[ total_bill ]]</f>
        <v>0.13181019332161686</v>
      </c>
      <c r="D72" s="3" t="s">
        <v>13</v>
      </c>
      <c r="E72" s="3" t="s">
        <v>10</v>
      </c>
      <c r="F72" s="3" t="s">
        <v>18</v>
      </c>
      <c r="G72" s="3" t="s">
        <v>16</v>
      </c>
      <c r="H72" s="3">
        <v>2</v>
      </c>
      <c r="I72" s="7">
        <f>+Tabla2[[#This Row],[ total_bill ]]/Tabla2[[#This Row],[table_size]]</f>
        <v>11.38</v>
      </c>
    </row>
    <row r="73" spans="1:9" x14ac:dyDescent="0.3">
      <c r="A73" s="4">
        <v>22.75</v>
      </c>
      <c r="B73" s="4">
        <v>3.25</v>
      </c>
      <c r="C73" s="6">
        <f>+Tabla2[[#This Row],[ tip ]]/Tabla2[[#This Row],[ total_bill ]]</f>
        <v>0.14285714285714285</v>
      </c>
      <c r="D73" s="3" t="s">
        <v>9</v>
      </c>
      <c r="E73" s="3" t="s">
        <v>10</v>
      </c>
      <c r="F73" s="3" t="s">
        <v>15</v>
      </c>
      <c r="G73" s="3" t="s">
        <v>12</v>
      </c>
      <c r="H73" s="3">
        <v>2</v>
      </c>
      <c r="I73" s="7">
        <f>+Tabla2[[#This Row],[ total_bill ]]/Tabla2[[#This Row],[table_size]]</f>
        <v>11.375</v>
      </c>
    </row>
    <row r="74" spans="1:9" x14ac:dyDescent="0.3">
      <c r="A74" s="4">
        <v>22.67</v>
      </c>
      <c r="B74" s="4">
        <v>2</v>
      </c>
      <c r="C74" s="6">
        <f>+Tabla2[[#This Row],[ tip ]]/Tabla2[[#This Row],[ total_bill ]]</f>
        <v>8.8222320247022493E-2</v>
      </c>
      <c r="D74" s="3" t="s">
        <v>13</v>
      </c>
      <c r="E74" s="3" t="s">
        <v>14</v>
      </c>
      <c r="F74" s="3" t="s">
        <v>17</v>
      </c>
      <c r="G74" s="3" t="s">
        <v>12</v>
      </c>
      <c r="H74" s="3">
        <v>2</v>
      </c>
      <c r="I74" s="7">
        <f>+Tabla2[[#This Row],[ total_bill ]]/Tabla2[[#This Row],[table_size]]</f>
        <v>11.335000000000001</v>
      </c>
    </row>
    <row r="75" spans="1:9" x14ac:dyDescent="0.3">
      <c r="A75" s="4">
        <v>22.49</v>
      </c>
      <c r="B75" s="4">
        <v>3.5</v>
      </c>
      <c r="C75" s="6">
        <f>+Tabla2[[#This Row],[ tip ]]/Tabla2[[#This Row],[ total_bill ]]</f>
        <v>0.15562472209871056</v>
      </c>
      <c r="D75" s="3" t="s">
        <v>13</v>
      </c>
      <c r="E75" s="3" t="s">
        <v>10</v>
      </c>
      <c r="F75" s="3" t="s">
        <v>15</v>
      </c>
      <c r="G75" s="3" t="s">
        <v>12</v>
      </c>
      <c r="H75" s="3">
        <v>2</v>
      </c>
      <c r="I75" s="7">
        <f>+Tabla2[[#This Row],[ total_bill ]]/Tabla2[[#This Row],[table_size]]</f>
        <v>11.244999999999999</v>
      </c>
    </row>
    <row r="76" spans="1:9" x14ac:dyDescent="0.3">
      <c r="A76" s="4">
        <v>22.42</v>
      </c>
      <c r="B76" s="4">
        <v>3.48</v>
      </c>
      <c r="C76" s="6">
        <f>+Tabla2[[#This Row],[ tip ]]/Tabla2[[#This Row],[ total_bill ]]</f>
        <v>0.15521855486173058</v>
      </c>
      <c r="D76" s="3" t="s">
        <v>9</v>
      </c>
      <c r="E76" s="3" t="s">
        <v>14</v>
      </c>
      <c r="F76" s="3" t="s">
        <v>17</v>
      </c>
      <c r="G76" s="3" t="s">
        <v>12</v>
      </c>
      <c r="H76" s="3">
        <v>2</v>
      </c>
      <c r="I76" s="7">
        <f>+Tabla2[[#This Row],[ total_bill ]]/Tabla2[[#This Row],[table_size]]</f>
        <v>11.21</v>
      </c>
    </row>
    <row r="77" spans="1:9" x14ac:dyDescent="0.3">
      <c r="A77" s="4">
        <v>22.23</v>
      </c>
      <c r="B77" s="4">
        <v>5</v>
      </c>
      <c r="C77" s="6">
        <f>+Tabla2[[#This Row],[ tip ]]/Tabla2[[#This Row],[ total_bill ]]</f>
        <v>0.22492127755285649</v>
      </c>
      <c r="D77" s="3" t="s">
        <v>13</v>
      </c>
      <c r="E77" s="3" t="s">
        <v>10</v>
      </c>
      <c r="F77" s="3" t="s">
        <v>11</v>
      </c>
      <c r="G77" s="3" t="s">
        <v>12</v>
      </c>
      <c r="H77" s="3">
        <v>2</v>
      </c>
      <c r="I77" s="7">
        <f>+Tabla2[[#This Row],[ total_bill ]]/Tabla2[[#This Row],[table_size]]</f>
        <v>11.115</v>
      </c>
    </row>
    <row r="78" spans="1:9" x14ac:dyDescent="0.3">
      <c r="A78" s="4">
        <v>22.12</v>
      </c>
      <c r="B78" s="4">
        <v>2.88</v>
      </c>
      <c r="C78" s="6">
        <f>+Tabla2[[#This Row],[ tip ]]/Tabla2[[#This Row],[ total_bill ]]</f>
        <v>0.13019891500904157</v>
      </c>
      <c r="D78" s="3" t="s">
        <v>9</v>
      </c>
      <c r="E78" s="3" t="s">
        <v>14</v>
      </c>
      <c r="F78" s="3" t="s">
        <v>17</v>
      </c>
      <c r="G78" s="3" t="s">
        <v>12</v>
      </c>
      <c r="H78" s="3">
        <v>2</v>
      </c>
      <c r="I78" s="7">
        <f>+Tabla2[[#This Row],[ total_bill ]]/Tabla2[[#This Row],[table_size]]</f>
        <v>11.06</v>
      </c>
    </row>
    <row r="79" spans="1:9" x14ac:dyDescent="0.3">
      <c r="A79" s="4">
        <v>21.7</v>
      </c>
      <c r="B79" s="4">
        <v>4.3</v>
      </c>
      <c r="C79" s="6">
        <f>+Tabla2[[#This Row],[ tip ]]/Tabla2[[#This Row],[ total_bill ]]</f>
        <v>0.19815668202764977</v>
      </c>
      <c r="D79" s="3" t="s">
        <v>13</v>
      </c>
      <c r="E79" s="3" t="s">
        <v>10</v>
      </c>
      <c r="F79" s="3" t="s">
        <v>17</v>
      </c>
      <c r="G79" s="3" t="s">
        <v>12</v>
      </c>
      <c r="H79" s="3">
        <v>2</v>
      </c>
      <c r="I79" s="7">
        <f>+Tabla2[[#This Row],[ total_bill ]]/Tabla2[[#This Row],[table_size]]</f>
        <v>10.85</v>
      </c>
    </row>
    <row r="80" spans="1:9" x14ac:dyDescent="0.3">
      <c r="A80" s="4">
        <v>21.58</v>
      </c>
      <c r="B80" s="4">
        <v>3.92</v>
      </c>
      <c r="C80" s="6">
        <f>+Tabla2[[#This Row],[ tip ]]/Tabla2[[#This Row],[ total_bill ]]</f>
        <v>0.18164967562557924</v>
      </c>
      <c r="D80" s="3" t="s">
        <v>13</v>
      </c>
      <c r="E80" s="3" t="s">
        <v>10</v>
      </c>
      <c r="F80" s="3" t="s">
        <v>11</v>
      </c>
      <c r="G80" s="3" t="s">
        <v>12</v>
      </c>
      <c r="H80" s="3">
        <v>2</v>
      </c>
      <c r="I80" s="7">
        <f>+Tabla2[[#This Row],[ total_bill ]]/Tabla2[[#This Row],[table_size]]</f>
        <v>10.79</v>
      </c>
    </row>
    <row r="81" spans="1:9" x14ac:dyDescent="0.3">
      <c r="A81" s="4">
        <v>21.5</v>
      </c>
      <c r="B81" s="4">
        <v>3.5</v>
      </c>
      <c r="C81" s="6">
        <f>+Tabla2[[#This Row],[ tip ]]/Tabla2[[#This Row],[ total_bill ]]</f>
        <v>0.16279069767441862</v>
      </c>
      <c r="D81" s="3" t="s">
        <v>13</v>
      </c>
      <c r="E81" s="3" t="s">
        <v>10</v>
      </c>
      <c r="F81" s="3" t="s">
        <v>11</v>
      </c>
      <c r="G81" s="3" t="s">
        <v>12</v>
      </c>
      <c r="H81" s="3">
        <v>4</v>
      </c>
      <c r="I81" s="7">
        <f>+Tabla2[[#This Row],[ total_bill ]]/Tabla2[[#This Row],[table_size]]</f>
        <v>5.375</v>
      </c>
    </row>
    <row r="82" spans="1:9" x14ac:dyDescent="0.3">
      <c r="A82" s="4">
        <v>21.16</v>
      </c>
      <c r="B82" s="4">
        <v>3</v>
      </c>
      <c r="C82" s="6">
        <f>+Tabla2[[#This Row],[ tip ]]/Tabla2[[#This Row],[ total_bill ]]</f>
        <v>0.14177693761814744</v>
      </c>
      <c r="D82" s="3" t="s">
        <v>13</v>
      </c>
      <c r="E82" s="3" t="s">
        <v>10</v>
      </c>
      <c r="F82" s="3" t="s">
        <v>18</v>
      </c>
      <c r="G82" s="3" t="s">
        <v>16</v>
      </c>
      <c r="H82" s="3">
        <v>2</v>
      </c>
      <c r="I82" s="7">
        <f>+Tabla2[[#This Row],[ total_bill ]]/Tabla2[[#This Row],[table_size]]</f>
        <v>10.58</v>
      </c>
    </row>
    <row r="83" spans="1:9" x14ac:dyDescent="0.3">
      <c r="A83" s="4">
        <v>21.01</v>
      </c>
      <c r="B83" s="4">
        <v>3.5</v>
      </c>
      <c r="C83" s="6">
        <f>+Tabla2[[#This Row],[ tip ]]/Tabla2[[#This Row],[ total_bill ]]</f>
        <v>0.16658733936220846</v>
      </c>
      <c r="D83" s="3" t="s">
        <v>13</v>
      </c>
      <c r="E83" s="3" t="s">
        <v>10</v>
      </c>
      <c r="F83" s="3" t="s">
        <v>11</v>
      </c>
      <c r="G83" s="3" t="s">
        <v>12</v>
      </c>
      <c r="H83" s="3">
        <v>3</v>
      </c>
      <c r="I83" s="7">
        <f>+Tabla2[[#This Row],[ total_bill ]]/Tabla2[[#This Row],[table_size]]</f>
        <v>7.0033333333333339</v>
      </c>
    </row>
    <row r="84" spans="1:9" x14ac:dyDescent="0.3">
      <c r="A84" s="4">
        <v>21.01</v>
      </c>
      <c r="B84" s="4">
        <v>3</v>
      </c>
      <c r="C84" s="6">
        <f>+Tabla2[[#This Row],[ tip ]]/Tabla2[[#This Row],[ total_bill ]]</f>
        <v>0.1427891480247501</v>
      </c>
      <c r="D84" s="3" t="s">
        <v>13</v>
      </c>
      <c r="E84" s="3" t="s">
        <v>14</v>
      </c>
      <c r="F84" s="3" t="s">
        <v>15</v>
      </c>
      <c r="G84" s="3" t="s">
        <v>12</v>
      </c>
      <c r="H84" s="3">
        <v>2</v>
      </c>
      <c r="I84" s="7">
        <f>+Tabla2[[#This Row],[ total_bill ]]/Tabla2[[#This Row],[table_size]]</f>
        <v>10.505000000000001</v>
      </c>
    </row>
    <row r="85" spans="1:9" x14ac:dyDescent="0.3">
      <c r="A85" s="4">
        <v>20.92</v>
      </c>
      <c r="B85" s="4">
        <v>4.08</v>
      </c>
      <c r="C85" s="6">
        <f>+Tabla2[[#This Row],[ tip ]]/Tabla2[[#This Row],[ total_bill ]]</f>
        <v>0.19502868068833651</v>
      </c>
      <c r="D85" s="3" t="s">
        <v>9</v>
      </c>
      <c r="E85" s="3" t="s">
        <v>10</v>
      </c>
      <c r="F85" s="3" t="s">
        <v>17</v>
      </c>
      <c r="G85" s="3" t="s">
        <v>12</v>
      </c>
      <c r="H85" s="3">
        <v>2</v>
      </c>
      <c r="I85" s="7">
        <f>+Tabla2[[#This Row],[ total_bill ]]/Tabla2[[#This Row],[table_size]]</f>
        <v>10.46</v>
      </c>
    </row>
    <row r="86" spans="1:9" x14ac:dyDescent="0.3">
      <c r="A86" s="4">
        <v>20.9</v>
      </c>
      <c r="B86" s="4">
        <v>3.5</v>
      </c>
      <c r="C86" s="6">
        <f>+Tabla2[[#This Row],[ tip ]]/Tabla2[[#This Row],[ total_bill ]]</f>
        <v>0.1674641148325359</v>
      </c>
      <c r="D86" s="3" t="s">
        <v>9</v>
      </c>
      <c r="E86" s="3" t="s">
        <v>14</v>
      </c>
      <c r="F86" s="3" t="s">
        <v>11</v>
      </c>
      <c r="G86" s="3" t="s">
        <v>12</v>
      </c>
      <c r="H86" s="3">
        <v>3</v>
      </c>
      <c r="I86" s="7">
        <f>+Tabla2[[#This Row],[ total_bill ]]/Tabla2[[#This Row],[table_size]]</f>
        <v>6.9666666666666659</v>
      </c>
    </row>
    <row r="87" spans="1:9" x14ac:dyDescent="0.3">
      <c r="A87" s="4">
        <v>20.76</v>
      </c>
      <c r="B87" s="4">
        <v>2.2400000000000002</v>
      </c>
      <c r="C87" s="6">
        <f>+Tabla2[[#This Row],[ tip ]]/Tabla2[[#This Row],[ total_bill ]]</f>
        <v>0.10789980732177264</v>
      </c>
      <c r="D87" s="3" t="s">
        <v>13</v>
      </c>
      <c r="E87" s="3" t="s">
        <v>10</v>
      </c>
      <c r="F87" s="3" t="s">
        <v>11</v>
      </c>
      <c r="G87" s="3" t="s">
        <v>12</v>
      </c>
      <c r="H87" s="3">
        <v>2</v>
      </c>
      <c r="I87" s="7">
        <f>+Tabla2[[#This Row],[ total_bill ]]/Tabla2[[#This Row],[table_size]]</f>
        <v>10.38</v>
      </c>
    </row>
    <row r="88" spans="1:9" x14ac:dyDescent="0.3">
      <c r="A88" s="4">
        <v>20.69</v>
      </c>
      <c r="B88" s="4">
        <v>5</v>
      </c>
      <c r="C88" s="6">
        <f>+Tabla2[[#This Row],[ tip ]]/Tabla2[[#This Row],[ total_bill ]]</f>
        <v>0.24166263895601739</v>
      </c>
      <c r="D88" s="3" t="s">
        <v>13</v>
      </c>
      <c r="E88" s="3" t="s">
        <v>10</v>
      </c>
      <c r="F88" s="3" t="s">
        <v>11</v>
      </c>
      <c r="G88" s="3" t="s">
        <v>12</v>
      </c>
      <c r="H88" s="3">
        <v>5</v>
      </c>
      <c r="I88" s="7">
        <f>+Tabla2[[#This Row],[ total_bill ]]/Tabla2[[#This Row],[table_size]]</f>
        <v>4.1379999999999999</v>
      </c>
    </row>
    <row r="89" spans="1:9" x14ac:dyDescent="0.3">
      <c r="A89" s="4">
        <v>20.69</v>
      </c>
      <c r="B89" s="4">
        <v>2.4500000000000002</v>
      </c>
      <c r="C89" s="6">
        <f>+Tabla2[[#This Row],[ tip ]]/Tabla2[[#This Row],[ total_bill ]]</f>
        <v>0.11841469308844853</v>
      </c>
      <c r="D89" s="3" t="s">
        <v>9</v>
      </c>
      <c r="E89" s="3" t="s">
        <v>10</v>
      </c>
      <c r="F89" s="3" t="s">
        <v>17</v>
      </c>
      <c r="G89" s="3" t="s">
        <v>12</v>
      </c>
      <c r="H89" s="3">
        <v>4</v>
      </c>
      <c r="I89" s="7">
        <f>+Tabla2[[#This Row],[ total_bill ]]/Tabla2[[#This Row],[table_size]]</f>
        <v>5.1725000000000003</v>
      </c>
    </row>
    <row r="90" spans="1:9" x14ac:dyDescent="0.3">
      <c r="A90" s="4">
        <v>20.65</v>
      </c>
      <c r="B90" s="4">
        <v>3.35</v>
      </c>
      <c r="C90" s="6">
        <f>+Tabla2[[#This Row],[ tip ]]/Tabla2[[#This Row],[ total_bill ]]</f>
        <v>0.16222760290556903</v>
      </c>
      <c r="D90" s="3" t="s">
        <v>13</v>
      </c>
      <c r="E90" s="3" t="s">
        <v>10</v>
      </c>
      <c r="F90" s="3" t="s">
        <v>17</v>
      </c>
      <c r="G90" s="3" t="s">
        <v>12</v>
      </c>
      <c r="H90" s="3">
        <v>3</v>
      </c>
      <c r="I90" s="7">
        <f>+Tabla2[[#This Row],[ total_bill ]]/Tabla2[[#This Row],[table_size]]</f>
        <v>6.8833333333333329</v>
      </c>
    </row>
    <row r="91" spans="1:9" x14ac:dyDescent="0.3">
      <c r="A91" s="4">
        <v>20.53</v>
      </c>
      <c r="B91" s="4">
        <v>4</v>
      </c>
      <c r="C91" s="6">
        <f>+Tabla2[[#This Row],[ tip ]]/Tabla2[[#This Row],[ total_bill ]]</f>
        <v>0.19483682415976619</v>
      </c>
      <c r="D91" s="3" t="s">
        <v>13</v>
      </c>
      <c r="E91" s="3" t="s">
        <v>14</v>
      </c>
      <c r="F91" s="3" t="s">
        <v>18</v>
      </c>
      <c r="G91" s="3" t="s">
        <v>16</v>
      </c>
      <c r="H91" s="3">
        <v>4</v>
      </c>
      <c r="I91" s="7">
        <f>+Tabla2[[#This Row],[ total_bill ]]/Tabla2[[#This Row],[table_size]]</f>
        <v>5.1325000000000003</v>
      </c>
    </row>
    <row r="92" spans="1:9" x14ac:dyDescent="0.3">
      <c r="A92" s="4">
        <v>20.49</v>
      </c>
      <c r="B92" s="4">
        <v>4.0599999999999996</v>
      </c>
      <c r="C92" s="6">
        <f>+Tabla2[[#This Row],[ tip ]]/Tabla2[[#This Row],[ total_bill ]]</f>
        <v>0.19814543679843827</v>
      </c>
      <c r="D92" s="3" t="s">
        <v>13</v>
      </c>
      <c r="E92" s="3" t="s">
        <v>14</v>
      </c>
      <c r="F92" s="3" t="s">
        <v>17</v>
      </c>
      <c r="G92" s="3" t="s">
        <v>12</v>
      </c>
      <c r="H92" s="3">
        <v>2</v>
      </c>
      <c r="I92" s="7">
        <f>+Tabla2[[#This Row],[ total_bill ]]/Tabla2[[#This Row],[table_size]]</f>
        <v>10.244999999999999</v>
      </c>
    </row>
    <row r="93" spans="1:9" x14ac:dyDescent="0.3">
      <c r="A93" s="4">
        <v>20.45</v>
      </c>
      <c r="B93" s="4">
        <v>3</v>
      </c>
      <c r="C93" s="6">
        <f>+Tabla2[[#This Row],[ tip ]]/Tabla2[[#This Row],[ total_bill ]]</f>
        <v>0.14669926650366749</v>
      </c>
      <c r="D93" s="3" t="s">
        <v>13</v>
      </c>
      <c r="E93" s="3" t="s">
        <v>10</v>
      </c>
      <c r="F93" s="3" t="s">
        <v>17</v>
      </c>
      <c r="G93" s="3" t="s">
        <v>12</v>
      </c>
      <c r="H93" s="3">
        <v>4</v>
      </c>
      <c r="I93" s="7">
        <f>+Tabla2[[#This Row],[ total_bill ]]/Tabla2[[#This Row],[table_size]]</f>
        <v>5.1124999999999998</v>
      </c>
    </row>
    <row r="94" spans="1:9" x14ac:dyDescent="0.3">
      <c r="A94" s="4">
        <v>20.29</v>
      </c>
      <c r="B94" s="4">
        <v>3.21</v>
      </c>
      <c r="C94" s="6">
        <f>+Tabla2[[#This Row],[ tip ]]/Tabla2[[#This Row],[ total_bill ]]</f>
        <v>0.15820601281419419</v>
      </c>
      <c r="D94" s="3" t="s">
        <v>13</v>
      </c>
      <c r="E94" s="3" t="s">
        <v>14</v>
      </c>
      <c r="F94" s="3" t="s">
        <v>17</v>
      </c>
      <c r="G94" s="3" t="s">
        <v>12</v>
      </c>
      <c r="H94" s="3">
        <v>2</v>
      </c>
      <c r="I94" s="7">
        <f>+Tabla2[[#This Row],[ total_bill ]]/Tabla2[[#This Row],[table_size]]</f>
        <v>10.145</v>
      </c>
    </row>
    <row r="95" spans="1:9" x14ac:dyDescent="0.3">
      <c r="A95" s="4">
        <v>20.29</v>
      </c>
      <c r="B95" s="4">
        <v>2.75</v>
      </c>
      <c r="C95" s="6">
        <f>+Tabla2[[#This Row],[ tip ]]/Tabla2[[#This Row],[ total_bill ]]</f>
        <v>0.13553474618038444</v>
      </c>
      <c r="D95" s="3" t="s">
        <v>9</v>
      </c>
      <c r="E95" s="3" t="s">
        <v>10</v>
      </c>
      <c r="F95" s="3" t="s">
        <v>17</v>
      </c>
      <c r="G95" s="3" t="s">
        <v>12</v>
      </c>
      <c r="H95" s="3">
        <v>2</v>
      </c>
      <c r="I95" s="7">
        <f>+Tabla2[[#This Row],[ total_bill ]]/Tabla2[[#This Row],[table_size]]</f>
        <v>10.145</v>
      </c>
    </row>
    <row r="96" spans="1:9" x14ac:dyDescent="0.3">
      <c r="A96" s="4">
        <v>20.27</v>
      </c>
      <c r="B96" s="4">
        <v>2.83</v>
      </c>
      <c r="C96" s="6">
        <f>+Tabla2[[#This Row],[ tip ]]/Tabla2[[#This Row],[ total_bill ]]</f>
        <v>0.13961519486926494</v>
      </c>
      <c r="D96" s="3" t="s">
        <v>9</v>
      </c>
      <c r="E96" s="3" t="s">
        <v>10</v>
      </c>
      <c r="F96" s="3" t="s">
        <v>18</v>
      </c>
      <c r="G96" s="3" t="s">
        <v>16</v>
      </c>
      <c r="H96" s="3">
        <v>2</v>
      </c>
      <c r="I96" s="7">
        <f>+Tabla2[[#This Row],[ total_bill ]]/Tabla2[[#This Row],[table_size]]</f>
        <v>10.135</v>
      </c>
    </row>
    <row r="97" spans="1:9" x14ac:dyDescent="0.3">
      <c r="A97" s="4">
        <v>20.23</v>
      </c>
      <c r="B97" s="4">
        <v>2.0099999999999998</v>
      </c>
      <c r="C97" s="6">
        <f>+Tabla2[[#This Row],[ tip ]]/Tabla2[[#This Row],[ total_bill ]]</f>
        <v>9.9357390014829447E-2</v>
      </c>
      <c r="D97" s="3" t="s">
        <v>13</v>
      </c>
      <c r="E97" s="3" t="s">
        <v>10</v>
      </c>
      <c r="F97" s="3" t="s">
        <v>17</v>
      </c>
      <c r="G97" s="3" t="s">
        <v>12</v>
      </c>
      <c r="H97" s="3">
        <v>2</v>
      </c>
      <c r="I97" s="7">
        <f>+Tabla2[[#This Row],[ total_bill ]]/Tabla2[[#This Row],[table_size]]</f>
        <v>10.115</v>
      </c>
    </row>
    <row r="98" spans="1:9" x14ac:dyDescent="0.3">
      <c r="A98" s="4">
        <v>20.079999999999998</v>
      </c>
      <c r="B98" s="4">
        <v>3.15</v>
      </c>
      <c r="C98" s="6">
        <f>+Tabla2[[#This Row],[ tip ]]/Tabla2[[#This Row],[ total_bill ]]</f>
        <v>0.15687250996015936</v>
      </c>
      <c r="D98" s="3" t="s">
        <v>13</v>
      </c>
      <c r="E98" s="3" t="s">
        <v>10</v>
      </c>
      <c r="F98" s="3" t="s">
        <v>17</v>
      </c>
      <c r="G98" s="3" t="s">
        <v>12</v>
      </c>
      <c r="H98" s="3">
        <v>3</v>
      </c>
      <c r="I98" s="7">
        <f>+Tabla2[[#This Row],[ total_bill ]]/Tabla2[[#This Row],[table_size]]</f>
        <v>6.6933333333333325</v>
      </c>
    </row>
    <row r="99" spans="1:9" x14ac:dyDescent="0.3">
      <c r="A99" s="4">
        <v>19.82</v>
      </c>
      <c r="B99" s="4">
        <v>3.18</v>
      </c>
      <c r="C99" s="6">
        <f>+Tabla2[[#This Row],[ tip ]]/Tabla2[[#This Row],[ total_bill ]]</f>
        <v>0.16044399596367306</v>
      </c>
      <c r="D99" s="3" t="s">
        <v>13</v>
      </c>
      <c r="E99" s="3" t="s">
        <v>10</v>
      </c>
      <c r="F99" s="3" t="s">
        <v>17</v>
      </c>
      <c r="G99" s="3" t="s">
        <v>12</v>
      </c>
      <c r="H99" s="3">
        <v>2</v>
      </c>
      <c r="I99" s="7">
        <f>+Tabla2[[#This Row],[ total_bill ]]/Tabla2[[#This Row],[table_size]]</f>
        <v>9.91</v>
      </c>
    </row>
    <row r="100" spans="1:9" x14ac:dyDescent="0.3">
      <c r="A100" s="4">
        <v>19.809999999999999</v>
      </c>
      <c r="B100" s="4">
        <v>4.1900000000000004</v>
      </c>
      <c r="C100" s="6">
        <f>+Tabla2[[#This Row],[ tip ]]/Tabla2[[#This Row],[ total_bill ]]</f>
        <v>0.21150933871781932</v>
      </c>
      <c r="D100" s="3" t="s">
        <v>9</v>
      </c>
      <c r="E100" s="3" t="s">
        <v>14</v>
      </c>
      <c r="F100" s="3" t="s">
        <v>18</v>
      </c>
      <c r="G100" s="3" t="s">
        <v>16</v>
      </c>
      <c r="H100" s="3">
        <v>2</v>
      </c>
      <c r="I100" s="7">
        <f>+Tabla2[[#This Row],[ total_bill ]]/Tabla2[[#This Row],[table_size]]</f>
        <v>9.9049999999999994</v>
      </c>
    </row>
    <row r="101" spans="1:9" x14ac:dyDescent="0.3">
      <c r="A101" s="4">
        <v>19.77</v>
      </c>
      <c r="B101" s="4">
        <v>2</v>
      </c>
      <c r="C101" s="6">
        <f>+Tabla2[[#This Row],[ tip ]]/Tabla2[[#This Row],[ total_bill ]]</f>
        <v>0.10116337885685382</v>
      </c>
      <c r="D101" s="3" t="s">
        <v>13</v>
      </c>
      <c r="E101" s="3" t="s">
        <v>10</v>
      </c>
      <c r="F101" s="3" t="s">
        <v>11</v>
      </c>
      <c r="G101" s="3" t="s">
        <v>12</v>
      </c>
      <c r="H101" s="3">
        <v>4</v>
      </c>
      <c r="I101" s="7">
        <f>+Tabla2[[#This Row],[ total_bill ]]/Tabla2[[#This Row],[table_size]]</f>
        <v>4.9424999999999999</v>
      </c>
    </row>
    <row r="102" spans="1:9" x14ac:dyDescent="0.3">
      <c r="A102" s="4">
        <v>19.649999999999999</v>
      </c>
      <c r="B102" s="4">
        <v>3</v>
      </c>
      <c r="C102" s="6">
        <f>+Tabla2[[#This Row],[ tip ]]/Tabla2[[#This Row],[ total_bill ]]</f>
        <v>0.15267175572519084</v>
      </c>
      <c r="D102" s="3" t="s">
        <v>9</v>
      </c>
      <c r="E102" s="3" t="s">
        <v>10</v>
      </c>
      <c r="F102" s="3" t="s">
        <v>17</v>
      </c>
      <c r="G102" s="3" t="s">
        <v>12</v>
      </c>
      <c r="H102" s="3">
        <v>2</v>
      </c>
      <c r="I102" s="7">
        <f>+Tabla2[[#This Row],[ total_bill ]]/Tabla2[[#This Row],[table_size]]</f>
        <v>9.8249999999999993</v>
      </c>
    </row>
    <row r="103" spans="1:9" x14ac:dyDescent="0.3">
      <c r="A103" s="4">
        <v>19.489999999999998</v>
      </c>
      <c r="B103" s="4">
        <v>3.51</v>
      </c>
      <c r="C103" s="6">
        <f>+Tabla2[[#This Row],[ tip ]]/Tabla2[[#This Row],[ total_bill ]]</f>
        <v>0.18009235505387378</v>
      </c>
      <c r="D103" s="3" t="s">
        <v>13</v>
      </c>
      <c r="E103" s="3" t="s">
        <v>10</v>
      </c>
      <c r="F103" s="3" t="s">
        <v>11</v>
      </c>
      <c r="G103" s="3" t="s">
        <v>12</v>
      </c>
      <c r="H103" s="3">
        <v>2</v>
      </c>
      <c r="I103" s="7">
        <f>+Tabla2[[#This Row],[ total_bill ]]/Tabla2[[#This Row],[table_size]]</f>
        <v>9.7449999999999992</v>
      </c>
    </row>
    <row r="104" spans="1:9" x14ac:dyDescent="0.3">
      <c r="A104" s="4">
        <v>19.440000000000001</v>
      </c>
      <c r="B104" s="4">
        <v>3</v>
      </c>
      <c r="C104" s="6">
        <f>+Tabla2[[#This Row],[ tip ]]/Tabla2[[#This Row],[ total_bill ]]</f>
        <v>0.15432098765432098</v>
      </c>
      <c r="D104" s="3" t="s">
        <v>13</v>
      </c>
      <c r="E104" s="3" t="s">
        <v>14</v>
      </c>
      <c r="F104" s="3" t="s">
        <v>18</v>
      </c>
      <c r="G104" s="3" t="s">
        <v>16</v>
      </c>
      <c r="H104" s="3">
        <v>2</v>
      </c>
      <c r="I104" s="7">
        <f>+Tabla2[[#This Row],[ total_bill ]]/Tabla2[[#This Row],[table_size]]</f>
        <v>9.7200000000000006</v>
      </c>
    </row>
    <row r="105" spans="1:9" x14ac:dyDescent="0.3">
      <c r="A105" s="4">
        <v>19.079999999999998</v>
      </c>
      <c r="B105" s="4">
        <v>1.5</v>
      </c>
      <c r="C105" s="6">
        <f>+Tabla2[[#This Row],[ tip ]]/Tabla2[[#This Row],[ total_bill ]]</f>
        <v>7.8616352201257872E-2</v>
      </c>
      <c r="D105" s="3" t="s">
        <v>13</v>
      </c>
      <c r="E105" s="3" t="s">
        <v>10</v>
      </c>
      <c r="F105" s="3" t="s">
        <v>18</v>
      </c>
      <c r="G105" s="3" t="s">
        <v>16</v>
      </c>
      <c r="H105" s="3">
        <v>2</v>
      </c>
      <c r="I105" s="7">
        <f>+Tabla2[[#This Row],[ total_bill ]]/Tabla2[[#This Row],[table_size]]</f>
        <v>9.5399999999999991</v>
      </c>
    </row>
    <row r="106" spans="1:9" x14ac:dyDescent="0.3">
      <c r="A106" s="4">
        <v>18.78</v>
      </c>
      <c r="B106" s="4">
        <v>3</v>
      </c>
      <c r="C106" s="6">
        <f>+Tabla2[[#This Row],[ tip ]]/Tabla2[[#This Row],[ total_bill ]]</f>
        <v>0.15974440894568689</v>
      </c>
      <c r="D106" s="3" t="s">
        <v>9</v>
      </c>
      <c r="E106" s="3" t="s">
        <v>10</v>
      </c>
      <c r="F106" s="3" t="s">
        <v>18</v>
      </c>
      <c r="G106" s="3" t="s">
        <v>12</v>
      </c>
      <c r="H106" s="3">
        <v>2</v>
      </c>
      <c r="I106" s="7">
        <f>+Tabla2[[#This Row],[ total_bill ]]/Tabla2[[#This Row],[table_size]]</f>
        <v>9.39</v>
      </c>
    </row>
    <row r="107" spans="1:9" x14ac:dyDescent="0.3">
      <c r="A107" s="4">
        <v>18.71</v>
      </c>
      <c r="B107" s="4">
        <v>4</v>
      </c>
      <c r="C107" s="6">
        <f>+Tabla2[[#This Row],[ tip ]]/Tabla2[[#This Row],[ total_bill ]]</f>
        <v>0.2137894174238375</v>
      </c>
      <c r="D107" s="3" t="s">
        <v>13</v>
      </c>
      <c r="E107" s="3" t="s">
        <v>14</v>
      </c>
      <c r="F107" s="3" t="s">
        <v>18</v>
      </c>
      <c r="G107" s="3" t="s">
        <v>16</v>
      </c>
      <c r="H107" s="3">
        <v>3</v>
      </c>
      <c r="I107" s="7">
        <f>+Tabla2[[#This Row],[ total_bill ]]/Tabla2[[#This Row],[table_size]]</f>
        <v>6.2366666666666672</v>
      </c>
    </row>
    <row r="108" spans="1:9" x14ac:dyDescent="0.3">
      <c r="A108" s="4">
        <v>18.690000000000001</v>
      </c>
      <c r="B108" s="4">
        <v>2.31</v>
      </c>
      <c r="C108" s="6">
        <f>+Tabla2[[#This Row],[ tip ]]/Tabla2[[#This Row],[ total_bill ]]</f>
        <v>0.12359550561797752</v>
      </c>
      <c r="D108" s="3" t="s">
        <v>13</v>
      </c>
      <c r="E108" s="3" t="s">
        <v>10</v>
      </c>
      <c r="F108" s="3" t="s">
        <v>17</v>
      </c>
      <c r="G108" s="3" t="s">
        <v>12</v>
      </c>
      <c r="H108" s="3">
        <v>3</v>
      </c>
      <c r="I108" s="7">
        <f>+Tabla2[[#This Row],[ total_bill ]]/Tabla2[[#This Row],[table_size]]</f>
        <v>6.23</v>
      </c>
    </row>
    <row r="109" spans="1:9" x14ac:dyDescent="0.3">
      <c r="A109" s="4">
        <v>18.64</v>
      </c>
      <c r="B109" s="4">
        <v>1.36</v>
      </c>
      <c r="C109" s="6">
        <f>+Tabla2[[#This Row],[ tip ]]/Tabla2[[#This Row],[ total_bill ]]</f>
        <v>7.2961373390557943E-2</v>
      </c>
      <c r="D109" s="3" t="s">
        <v>9</v>
      </c>
      <c r="E109" s="3" t="s">
        <v>10</v>
      </c>
      <c r="F109" s="3" t="s">
        <v>18</v>
      </c>
      <c r="G109" s="3" t="s">
        <v>16</v>
      </c>
      <c r="H109" s="3">
        <v>3</v>
      </c>
      <c r="I109" s="7">
        <f>+Tabla2[[#This Row],[ total_bill ]]/Tabla2[[#This Row],[table_size]]</f>
        <v>6.2133333333333338</v>
      </c>
    </row>
    <row r="110" spans="1:9" x14ac:dyDescent="0.3">
      <c r="A110" s="4">
        <v>18.43</v>
      </c>
      <c r="B110" s="4">
        <v>3</v>
      </c>
      <c r="C110" s="6">
        <f>+Tabla2[[#This Row],[ tip ]]/Tabla2[[#This Row],[ total_bill ]]</f>
        <v>0.16277807921866522</v>
      </c>
      <c r="D110" s="3" t="s">
        <v>13</v>
      </c>
      <c r="E110" s="3" t="s">
        <v>10</v>
      </c>
      <c r="F110" s="3" t="s">
        <v>11</v>
      </c>
      <c r="G110" s="3" t="s">
        <v>12</v>
      </c>
      <c r="H110" s="3">
        <v>4</v>
      </c>
      <c r="I110" s="7">
        <f>+Tabla2[[#This Row],[ total_bill ]]/Tabla2[[#This Row],[table_size]]</f>
        <v>4.6074999999999999</v>
      </c>
    </row>
    <row r="111" spans="1:9" x14ac:dyDescent="0.3">
      <c r="A111" s="4">
        <v>18.350000000000001</v>
      </c>
      <c r="B111" s="4">
        <v>2.5</v>
      </c>
      <c r="C111" s="6">
        <f>+Tabla2[[#This Row],[ tip ]]/Tabla2[[#This Row],[ total_bill ]]</f>
        <v>0.13623978201634876</v>
      </c>
      <c r="D111" s="3" t="s">
        <v>13</v>
      </c>
      <c r="E111" s="3" t="s">
        <v>10</v>
      </c>
      <c r="F111" s="3" t="s">
        <v>17</v>
      </c>
      <c r="G111" s="3" t="s">
        <v>12</v>
      </c>
      <c r="H111" s="3">
        <v>4</v>
      </c>
      <c r="I111" s="7">
        <f>+Tabla2[[#This Row],[ total_bill ]]/Tabla2[[#This Row],[table_size]]</f>
        <v>4.5875000000000004</v>
      </c>
    </row>
    <row r="112" spans="1:9" x14ac:dyDescent="0.3">
      <c r="A112" s="4">
        <v>18.29</v>
      </c>
      <c r="B112" s="4">
        <v>3.76</v>
      </c>
      <c r="C112" s="6">
        <f>+Tabla2[[#This Row],[ tip ]]/Tabla2[[#This Row],[ total_bill ]]</f>
        <v>0.20557681793329688</v>
      </c>
      <c r="D112" s="3" t="s">
        <v>13</v>
      </c>
      <c r="E112" s="3" t="s">
        <v>14</v>
      </c>
      <c r="F112" s="3" t="s">
        <v>17</v>
      </c>
      <c r="G112" s="3" t="s">
        <v>12</v>
      </c>
      <c r="H112" s="3">
        <v>4</v>
      </c>
      <c r="I112" s="7">
        <f>+Tabla2[[#This Row],[ total_bill ]]/Tabla2[[#This Row],[table_size]]</f>
        <v>4.5724999999999998</v>
      </c>
    </row>
    <row r="113" spans="1:9" x14ac:dyDescent="0.3">
      <c r="A113" s="4">
        <v>18.29</v>
      </c>
      <c r="B113" s="4">
        <v>3</v>
      </c>
      <c r="C113" s="6">
        <f>+Tabla2[[#This Row],[ tip ]]/Tabla2[[#This Row],[ total_bill ]]</f>
        <v>0.16402405686167304</v>
      </c>
      <c r="D113" s="3" t="s">
        <v>13</v>
      </c>
      <c r="E113" s="3" t="s">
        <v>10</v>
      </c>
      <c r="F113" s="3" t="s">
        <v>11</v>
      </c>
      <c r="G113" s="3" t="s">
        <v>12</v>
      </c>
      <c r="H113" s="3">
        <v>2</v>
      </c>
      <c r="I113" s="7">
        <f>+Tabla2[[#This Row],[ total_bill ]]/Tabla2[[#This Row],[table_size]]</f>
        <v>9.1449999999999996</v>
      </c>
    </row>
    <row r="114" spans="1:9" x14ac:dyDescent="0.3">
      <c r="A114" s="4">
        <v>18.28</v>
      </c>
      <c r="B114" s="4">
        <v>4</v>
      </c>
      <c r="C114" s="6">
        <f>+Tabla2[[#This Row],[ tip ]]/Tabla2[[#This Row],[ total_bill ]]</f>
        <v>0.21881838074398249</v>
      </c>
      <c r="D114" s="3" t="s">
        <v>13</v>
      </c>
      <c r="E114" s="3" t="s">
        <v>10</v>
      </c>
      <c r="F114" s="3" t="s">
        <v>18</v>
      </c>
      <c r="G114" s="3" t="s">
        <v>16</v>
      </c>
      <c r="H114" s="3">
        <v>2</v>
      </c>
      <c r="I114" s="7">
        <f>+Tabla2[[#This Row],[ total_bill ]]/Tabla2[[#This Row],[table_size]]</f>
        <v>9.14</v>
      </c>
    </row>
    <row r="115" spans="1:9" x14ac:dyDescent="0.3">
      <c r="A115" s="4">
        <v>18.260000000000002</v>
      </c>
      <c r="B115" s="4">
        <v>3.25</v>
      </c>
      <c r="C115" s="6">
        <f>+Tabla2[[#This Row],[ tip ]]/Tabla2[[#This Row],[ total_bill ]]</f>
        <v>0.17798466593647316</v>
      </c>
      <c r="D115" s="3" t="s">
        <v>9</v>
      </c>
      <c r="E115" s="3" t="s">
        <v>10</v>
      </c>
      <c r="F115" s="3" t="s">
        <v>18</v>
      </c>
      <c r="G115" s="3" t="s">
        <v>16</v>
      </c>
      <c r="H115" s="3">
        <v>2</v>
      </c>
      <c r="I115" s="7">
        <f>+Tabla2[[#This Row],[ total_bill ]]/Tabla2[[#This Row],[table_size]]</f>
        <v>9.1300000000000008</v>
      </c>
    </row>
    <row r="116" spans="1:9" x14ac:dyDescent="0.3">
      <c r="A116" s="4">
        <v>18.239999999999998</v>
      </c>
      <c r="B116" s="4">
        <v>3.76</v>
      </c>
      <c r="C116" s="6">
        <f>+Tabla2[[#This Row],[ tip ]]/Tabla2[[#This Row],[ total_bill ]]</f>
        <v>0.20614035087719298</v>
      </c>
      <c r="D116" s="3" t="s">
        <v>13</v>
      </c>
      <c r="E116" s="3" t="s">
        <v>10</v>
      </c>
      <c r="F116" s="3" t="s">
        <v>17</v>
      </c>
      <c r="G116" s="3" t="s">
        <v>12</v>
      </c>
      <c r="H116" s="3">
        <v>2</v>
      </c>
      <c r="I116" s="7">
        <f>+Tabla2[[#This Row],[ total_bill ]]/Tabla2[[#This Row],[table_size]]</f>
        <v>9.1199999999999992</v>
      </c>
    </row>
    <row r="117" spans="1:9" x14ac:dyDescent="0.3">
      <c r="A117" s="4">
        <v>18.149999999999999</v>
      </c>
      <c r="B117" s="4">
        <v>3.5</v>
      </c>
      <c r="C117" s="6">
        <f>+Tabla2[[#This Row],[ tip ]]/Tabla2[[#This Row],[ total_bill ]]</f>
        <v>0.1928374655647383</v>
      </c>
      <c r="D117" s="3" t="s">
        <v>9</v>
      </c>
      <c r="E117" s="3" t="s">
        <v>14</v>
      </c>
      <c r="F117" s="3" t="s">
        <v>11</v>
      </c>
      <c r="G117" s="3" t="s">
        <v>12</v>
      </c>
      <c r="H117" s="3">
        <v>3</v>
      </c>
      <c r="I117" s="7">
        <f>+Tabla2[[#This Row],[ total_bill ]]/Tabla2[[#This Row],[table_size]]</f>
        <v>6.05</v>
      </c>
    </row>
    <row r="118" spans="1:9" x14ac:dyDescent="0.3">
      <c r="A118" s="4">
        <v>18.04</v>
      </c>
      <c r="B118" s="4">
        <v>3</v>
      </c>
      <c r="C118" s="6">
        <f>+Tabla2[[#This Row],[ tip ]]/Tabla2[[#This Row],[ total_bill ]]</f>
        <v>0.16629711751662973</v>
      </c>
      <c r="D118" s="3" t="s">
        <v>13</v>
      </c>
      <c r="E118" s="3" t="s">
        <v>10</v>
      </c>
      <c r="F118" s="3" t="s">
        <v>11</v>
      </c>
      <c r="G118" s="3" t="s">
        <v>12</v>
      </c>
      <c r="H118" s="3">
        <v>2</v>
      </c>
      <c r="I118" s="7">
        <f>+Tabla2[[#This Row],[ total_bill ]]/Tabla2[[#This Row],[table_size]]</f>
        <v>9.02</v>
      </c>
    </row>
    <row r="119" spans="1:9" x14ac:dyDescent="0.3">
      <c r="A119" s="4">
        <v>17.920000000000002</v>
      </c>
      <c r="B119" s="4">
        <v>4.08</v>
      </c>
      <c r="C119" s="6">
        <f>+Tabla2[[#This Row],[ tip ]]/Tabla2[[#This Row],[ total_bill ]]</f>
        <v>0.22767857142857142</v>
      </c>
      <c r="D119" s="3" t="s">
        <v>13</v>
      </c>
      <c r="E119" s="3" t="s">
        <v>10</v>
      </c>
      <c r="F119" s="3" t="s">
        <v>17</v>
      </c>
      <c r="G119" s="3" t="s">
        <v>12</v>
      </c>
      <c r="H119" s="3">
        <v>2</v>
      </c>
      <c r="I119" s="7">
        <f>+Tabla2[[#This Row],[ total_bill ]]/Tabla2[[#This Row],[table_size]]</f>
        <v>8.9600000000000009</v>
      </c>
    </row>
    <row r="120" spans="1:9" x14ac:dyDescent="0.3">
      <c r="A120" s="4">
        <v>17.920000000000002</v>
      </c>
      <c r="B120" s="4">
        <v>3.08</v>
      </c>
      <c r="C120" s="6">
        <f>+Tabla2[[#This Row],[ tip ]]/Tabla2[[#This Row],[ total_bill ]]</f>
        <v>0.171875</v>
      </c>
      <c r="D120" s="3" t="s">
        <v>13</v>
      </c>
      <c r="E120" s="3" t="s">
        <v>14</v>
      </c>
      <c r="F120" s="3" t="s">
        <v>17</v>
      </c>
      <c r="G120" s="3" t="s">
        <v>12</v>
      </c>
      <c r="H120" s="3">
        <v>2</v>
      </c>
      <c r="I120" s="7">
        <f>+Tabla2[[#This Row],[ total_bill ]]/Tabla2[[#This Row],[table_size]]</f>
        <v>8.9600000000000009</v>
      </c>
    </row>
    <row r="121" spans="1:9" x14ac:dyDescent="0.3">
      <c r="A121" s="4">
        <v>17.89</v>
      </c>
      <c r="B121" s="4">
        <v>2</v>
      </c>
      <c r="C121" s="6">
        <f>+Tabla2[[#This Row],[ tip ]]/Tabla2[[#This Row],[ total_bill ]]</f>
        <v>0.11179429849077696</v>
      </c>
      <c r="D121" s="3" t="s">
        <v>13</v>
      </c>
      <c r="E121" s="3" t="s">
        <v>14</v>
      </c>
      <c r="F121" s="3" t="s">
        <v>11</v>
      </c>
      <c r="G121" s="3" t="s">
        <v>12</v>
      </c>
      <c r="H121" s="3">
        <v>2</v>
      </c>
      <c r="I121" s="7">
        <f>+Tabla2[[#This Row],[ total_bill ]]/Tabla2[[#This Row],[table_size]]</f>
        <v>8.9450000000000003</v>
      </c>
    </row>
    <row r="122" spans="1:9" x14ac:dyDescent="0.3">
      <c r="A122" s="4">
        <v>17.82</v>
      </c>
      <c r="B122" s="4">
        <v>1.75</v>
      </c>
      <c r="C122" s="6">
        <f>+Tabla2[[#This Row],[ tip ]]/Tabla2[[#This Row],[ total_bill ]]</f>
        <v>9.8204264870931535E-2</v>
      </c>
      <c r="D122" s="3" t="s">
        <v>13</v>
      </c>
      <c r="E122" s="3" t="s">
        <v>10</v>
      </c>
      <c r="F122" s="3" t="s">
        <v>17</v>
      </c>
      <c r="G122" s="3" t="s">
        <v>12</v>
      </c>
      <c r="H122" s="3">
        <v>2</v>
      </c>
      <c r="I122" s="7">
        <f>+Tabla2[[#This Row],[ total_bill ]]/Tabla2[[#This Row],[table_size]]</f>
        <v>8.91</v>
      </c>
    </row>
    <row r="123" spans="1:9" x14ac:dyDescent="0.3">
      <c r="A123" s="4">
        <v>17.809999999999999</v>
      </c>
      <c r="B123" s="4">
        <v>2.34</v>
      </c>
      <c r="C123" s="6">
        <f>+Tabla2[[#This Row],[ tip ]]/Tabla2[[#This Row],[ total_bill ]]</f>
        <v>0.13138686131386862</v>
      </c>
      <c r="D123" s="3" t="s">
        <v>13</v>
      </c>
      <c r="E123" s="3" t="s">
        <v>10</v>
      </c>
      <c r="F123" s="3" t="s">
        <v>17</v>
      </c>
      <c r="G123" s="3" t="s">
        <v>12</v>
      </c>
      <c r="H123" s="3">
        <v>4</v>
      </c>
      <c r="I123" s="7">
        <f>+Tabla2[[#This Row],[ total_bill ]]/Tabla2[[#This Row],[table_size]]</f>
        <v>4.4524999999999997</v>
      </c>
    </row>
    <row r="124" spans="1:9" x14ac:dyDescent="0.3">
      <c r="A124" s="4">
        <v>17.78</v>
      </c>
      <c r="B124" s="4">
        <v>3.27</v>
      </c>
      <c r="C124" s="6">
        <f>+Tabla2[[#This Row],[ tip ]]/Tabla2[[#This Row],[ total_bill ]]</f>
        <v>0.18391451068616421</v>
      </c>
      <c r="D124" s="3" t="s">
        <v>13</v>
      </c>
      <c r="E124" s="3" t="s">
        <v>10</v>
      </c>
      <c r="F124" s="3" t="s">
        <v>17</v>
      </c>
      <c r="G124" s="3" t="s">
        <v>12</v>
      </c>
      <c r="H124" s="3">
        <v>2</v>
      </c>
      <c r="I124" s="7">
        <f>+Tabla2[[#This Row],[ total_bill ]]/Tabla2[[#This Row],[table_size]]</f>
        <v>8.89</v>
      </c>
    </row>
    <row r="125" spans="1:9" x14ac:dyDescent="0.3">
      <c r="A125" s="4">
        <v>17.59</v>
      </c>
      <c r="B125" s="4">
        <v>2.64</v>
      </c>
      <c r="C125" s="6">
        <f>+Tabla2[[#This Row],[ tip ]]/Tabla2[[#This Row],[ total_bill ]]</f>
        <v>0.15008527572484368</v>
      </c>
      <c r="D125" s="3" t="s">
        <v>13</v>
      </c>
      <c r="E125" s="3" t="s">
        <v>10</v>
      </c>
      <c r="F125" s="3" t="s">
        <v>17</v>
      </c>
      <c r="G125" s="3" t="s">
        <v>12</v>
      </c>
      <c r="H125" s="3">
        <v>3</v>
      </c>
      <c r="I125" s="7">
        <f>+Tabla2[[#This Row],[ total_bill ]]/Tabla2[[#This Row],[table_size]]</f>
        <v>5.8633333333333333</v>
      </c>
    </row>
    <row r="126" spans="1:9" x14ac:dyDescent="0.3">
      <c r="A126" s="4">
        <v>17.510000000000002</v>
      </c>
      <c r="B126" s="4">
        <v>3</v>
      </c>
      <c r="C126" s="6">
        <f>+Tabla2[[#This Row],[ tip ]]/Tabla2[[#This Row],[ total_bill ]]</f>
        <v>0.17133066818960593</v>
      </c>
      <c r="D126" s="3" t="s">
        <v>9</v>
      </c>
      <c r="E126" s="3" t="s">
        <v>14</v>
      </c>
      <c r="F126" s="3" t="s">
        <v>11</v>
      </c>
      <c r="G126" s="3" t="s">
        <v>12</v>
      </c>
      <c r="H126" s="3">
        <v>2</v>
      </c>
      <c r="I126" s="7">
        <f>+Tabla2[[#This Row],[ total_bill ]]/Tabla2[[#This Row],[table_size]]</f>
        <v>8.7550000000000008</v>
      </c>
    </row>
    <row r="127" spans="1:9" x14ac:dyDescent="0.3">
      <c r="A127" s="4">
        <v>17.47</v>
      </c>
      <c r="B127" s="4">
        <v>3.5</v>
      </c>
      <c r="C127" s="6">
        <f>+Tabla2[[#This Row],[ tip ]]/Tabla2[[#This Row],[ total_bill ]]</f>
        <v>0.20034344590726963</v>
      </c>
      <c r="D127" s="3" t="s">
        <v>9</v>
      </c>
      <c r="E127" s="3" t="s">
        <v>10</v>
      </c>
      <c r="F127" s="3" t="s">
        <v>18</v>
      </c>
      <c r="G127" s="3" t="s">
        <v>16</v>
      </c>
      <c r="H127" s="3">
        <v>2</v>
      </c>
      <c r="I127" s="7">
        <f>+Tabla2[[#This Row],[ total_bill ]]/Tabla2[[#This Row],[table_size]]</f>
        <v>8.7349999999999994</v>
      </c>
    </row>
    <row r="128" spans="1:9" x14ac:dyDescent="0.3">
      <c r="A128" s="4">
        <v>17.46</v>
      </c>
      <c r="B128" s="4">
        <v>2.54</v>
      </c>
      <c r="C128" s="6">
        <f>+Tabla2[[#This Row],[ tip ]]/Tabla2[[#This Row],[ total_bill ]]</f>
        <v>0.14547537227949597</v>
      </c>
      <c r="D128" s="3" t="s">
        <v>13</v>
      </c>
      <c r="E128" s="3" t="s">
        <v>10</v>
      </c>
      <c r="F128" s="3" t="s">
        <v>11</v>
      </c>
      <c r="G128" s="3" t="s">
        <v>12</v>
      </c>
      <c r="H128" s="3">
        <v>2</v>
      </c>
      <c r="I128" s="7">
        <f>+Tabla2[[#This Row],[ total_bill ]]/Tabla2[[#This Row],[table_size]]</f>
        <v>8.73</v>
      </c>
    </row>
    <row r="129" spans="1:9" x14ac:dyDescent="0.3">
      <c r="A129" s="4">
        <v>17.309999999999999</v>
      </c>
      <c r="B129" s="4">
        <v>3.5</v>
      </c>
      <c r="C129" s="6">
        <f>+Tabla2[[#This Row],[ tip ]]/Tabla2[[#This Row],[ total_bill ]]</f>
        <v>0.20219526285384173</v>
      </c>
      <c r="D129" s="3" t="s">
        <v>9</v>
      </c>
      <c r="E129" s="3" t="s">
        <v>10</v>
      </c>
      <c r="F129" s="3" t="s">
        <v>11</v>
      </c>
      <c r="G129" s="3" t="s">
        <v>12</v>
      </c>
      <c r="H129" s="3">
        <v>2</v>
      </c>
      <c r="I129" s="7">
        <f>+Tabla2[[#This Row],[ total_bill ]]/Tabla2[[#This Row],[table_size]]</f>
        <v>8.6549999999999994</v>
      </c>
    </row>
    <row r="130" spans="1:9" x14ac:dyDescent="0.3">
      <c r="A130" s="4">
        <v>17.29</v>
      </c>
      <c r="B130" s="4">
        <v>2.71</v>
      </c>
      <c r="C130" s="6">
        <f>+Tabla2[[#This Row],[ tip ]]/Tabla2[[#This Row],[ total_bill ]]</f>
        <v>0.15673799884326201</v>
      </c>
      <c r="D130" s="3" t="s">
        <v>13</v>
      </c>
      <c r="E130" s="3" t="s">
        <v>10</v>
      </c>
      <c r="F130" s="3" t="s">
        <v>18</v>
      </c>
      <c r="G130" s="3" t="s">
        <v>16</v>
      </c>
      <c r="H130" s="3">
        <v>2</v>
      </c>
      <c r="I130" s="7">
        <f>+Tabla2[[#This Row],[ total_bill ]]/Tabla2[[#This Row],[table_size]]</f>
        <v>8.6449999999999996</v>
      </c>
    </row>
    <row r="131" spans="1:9" x14ac:dyDescent="0.3">
      <c r="A131" s="4">
        <v>17.260000000000002</v>
      </c>
      <c r="B131" s="4">
        <v>2.74</v>
      </c>
      <c r="C131" s="6">
        <f>+Tabla2[[#This Row],[ tip ]]/Tabla2[[#This Row],[ total_bill ]]</f>
        <v>0.15874855156431053</v>
      </c>
      <c r="D131" s="3" t="s">
        <v>13</v>
      </c>
      <c r="E131" s="3" t="s">
        <v>10</v>
      </c>
      <c r="F131" s="3" t="s">
        <v>11</v>
      </c>
      <c r="G131" s="3" t="s">
        <v>12</v>
      </c>
      <c r="H131" s="3">
        <v>3</v>
      </c>
      <c r="I131" s="7">
        <f>+Tabla2[[#This Row],[ total_bill ]]/Tabla2[[#This Row],[table_size]]</f>
        <v>5.7533333333333339</v>
      </c>
    </row>
    <row r="132" spans="1:9" x14ac:dyDescent="0.3">
      <c r="A132" s="4">
        <v>17.07</v>
      </c>
      <c r="B132" s="4">
        <v>3</v>
      </c>
      <c r="C132" s="6">
        <f>+Tabla2[[#This Row],[ tip ]]/Tabla2[[#This Row],[ total_bill ]]</f>
        <v>0.1757469244288225</v>
      </c>
      <c r="D132" s="3" t="s">
        <v>9</v>
      </c>
      <c r="E132" s="3" t="s">
        <v>10</v>
      </c>
      <c r="F132" s="3" t="s">
        <v>17</v>
      </c>
      <c r="G132" s="3" t="s">
        <v>12</v>
      </c>
      <c r="H132" s="3">
        <v>3</v>
      </c>
      <c r="I132" s="7">
        <f>+Tabla2[[#This Row],[ total_bill ]]/Tabla2[[#This Row],[table_size]]</f>
        <v>5.69</v>
      </c>
    </row>
    <row r="133" spans="1:9" x14ac:dyDescent="0.3">
      <c r="A133" s="4">
        <v>16.989999999999998</v>
      </c>
      <c r="B133" s="4">
        <v>1.01</v>
      </c>
      <c r="C133" s="6">
        <f>+Tabla2[[#This Row],[ tip ]]/Tabla2[[#This Row],[ total_bill ]]</f>
        <v>5.9446733372572107E-2</v>
      </c>
      <c r="D133" s="3" t="s">
        <v>9</v>
      </c>
      <c r="E133" s="3" t="s">
        <v>10</v>
      </c>
      <c r="F133" s="3" t="s">
        <v>11</v>
      </c>
      <c r="G133" s="3" t="s">
        <v>12</v>
      </c>
      <c r="H133" s="3">
        <v>2</v>
      </c>
      <c r="I133" s="7">
        <f>+Tabla2[[#This Row],[ total_bill ]]/Tabla2[[#This Row],[table_size]]</f>
        <v>8.4949999999999992</v>
      </c>
    </row>
    <row r="134" spans="1:9" x14ac:dyDescent="0.3">
      <c r="A134" s="4">
        <v>16.97</v>
      </c>
      <c r="B134" s="4">
        <v>3.5</v>
      </c>
      <c r="C134" s="6">
        <f>+Tabla2[[#This Row],[ tip ]]/Tabla2[[#This Row],[ total_bill ]]</f>
        <v>0.20624631703005306</v>
      </c>
      <c r="D134" s="3" t="s">
        <v>9</v>
      </c>
      <c r="E134" s="3" t="s">
        <v>10</v>
      </c>
      <c r="F134" s="3" t="s">
        <v>11</v>
      </c>
      <c r="G134" s="3" t="s">
        <v>12</v>
      </c>
      <c r="H134" s="3">
        <v>3</v>
      </c>
      <c r="I134" s="7">
        <f>+Tabla2[[#This Row],[ total_bill ]]/Tabla2[[#This Row],[table_size]]</f>
        <v>5.6566666666666663</v>
      </c>
    </row>
    <row r="135" spans="1:9" x14ac:dyDescent="0.3">
      <c r="A135" s="4">
        <v>16.93</v>
      </c>
      <c r="B135" s="4">
        <v>3.07</v>
      </c>
      <c r="C135" s="6">
        <f>+Tabla2[[#This Row],[ tip ]]/Tabla2[[#This Row],[ total_bill ]]</f>
        <v>0.1813349084465446</v>
      </c>
      <c r="D135" s="3" t="s">
        <v>9</v>
      </c>
      <c r="E135" s="3" t="s">
        <v>10</v>
      </c>
      <c r="F135" s="3" t="s">
        <v>17</v>
      </c>
      <c r="G135" s="3" t="s">
        <v>12</v>
      </c>
      <c r="H135" s="3">
        <v>3</v>
      </c>
      <c r="I135" s="7">
        <f>+Tabla2[[#This Row],[ total_bill ]]/Tabla2[[#This Row],[table_size]]</f>
        <v>5.6433333333333335</v>
      </c>
    </row>
    <row r="136" spans="1:9" x14ac:dyDescent="0.3">
      <c r="A136" s="4">
        <v>16.82</v>
      </c>
      <c r="B136" s="4">
        <v>4</v>
      </c>
      <c r="C136" s="6">
        <f>+Tabla2[[#This Row],[ tip ]]/Tabla2[[#This Row],[ total_bill ]]</f>
        <v>0.23781212841854935</v>
      </c>
      <c r="D136" s="3" t="s">
        <v>13</v>
      </c>
      <c r="E136" s="3" t="s">
        <v>14</v>
      </c>
      <c r="F136" s="3" t="s">
        <v>11</v>
      </c>
      <c r="G136" s="3" t="s">
        <v>12</v>
      </c>
      <c r="H136" s="3">
        <v>2</v>
      </c>
      <c r="I136" s="7">
        <f>+Tabla2[[#This Row],[ total_bill ]]/Tabla2[[#This Row],[table_size]]</f>
        <v>8.41</v>
      </c>
    </row>
    <row r="137" spans="1:9" x14ac:dyDescent="0.3">
      <c r="A137" s="4">
        <v>16.66</v>
      </c>
      <c r="B137" s="4">
        <v>3.4</v>
      </c>
      <c r="C137" s="6">
        <f>+Tabla2[[#This Row],[ tip ]]/Tabla2[[#This Row],[ total_bill ]]</f>
        <v>0.20408163265306123</v>
      </c>
      <c r="D137" s="3" t="s">
        <v>13</v>
      </c>
      <c r="E137" s="3" t="s">
        <v>10</v>
      </c>
      <c r="F137" s="3" t="s">
        <v>18</v>
      </c>
      <c r="G137" s="3" t="s">
        <v>16</v>
      </c>
      <c r="H137" s="3">
        <v>2</v>
      </c>
      <c r="I137" s="7">
        <f>+Tabla2[[#This Row],[ total_bill ]]/Tabla2[[#This Row],[table_size]]</f>
        <v>8.33</v>
      </c>
    </row>
    <row r="138" spans="1:9" x14ac:dyDescent="0.3">
      <c r="A138" s="4">
        <v>16.579999999999998</v>
      </c>
      <c r="B138" s="4">
        <v>4</v>
      </c>
      <c r="C138" s="6">
        <f>+Tabla2[[#This Row],[ tip ]]/Tabla2[[#This Row],[ total_bill ]]</f>
        <v>0.24125452352231608</v>
      </c>
      <c r="D138" s="3" t="s">
        <v>13</v>
      </c>
      <c r="E138" s="3" t="s">
        <v>14</v>
      </c>
      <c r="F138" s="3" t="s">
        <v>18</v>
      </c>
      <c r="G138" s="3" t="s">
        <v>16</v>
      </c>
      <c r="H138" s="3">
        <v>2</v>
      </c>
      <c r="I138" s="7">
        <f>+Tabla2[[#This Row],[ total_bill ]]/Tabla2[[#This Row],[table_size]]</f>
        <v>8.2899999999999991</v>
      </c>
    </row>
    <row r="139" spans="1:9" x14ac:dyDescent="0.3">
      <c r="A139" s="4">
        <v>16.489999999999998</v>
      </c>
      <c r="B139" s="4">
        <v>2</v>
      </c>
      <c r="C139" s="6">
        <f>+Tabla2[[#This Row],[ tip ]]/Tabla2[[#This Row],[ total_bill ]]</f>
        <v>0.12128562765312312</v>
      </c>
      <c r="D139" s="3" t="s">
        <v>13</v>
      </c>
      <c r="E139" s="3" t="s">
        <v>10</v>
      </c>
      <c r="F139" s="3" t="s">
        <v>11</v>
      </c>
      <c r="G139" s="3" t="s">
        <v>12</v>
      </c>
      <c r="H139" s="3">
        <v>4</v>
      </c>
      <c r="I139" s="7">
        <f>+Tabla2[[#This Row],[ total_bill ]]/Tabla2[[#This Row],[table_size]]</f>
        <v>4.1224999999999996</v>
      </c>
    </row>
    <row r="140" spans="1:9" x14ac:dyDescent="0.3">
      <c r="A140" s="4">
        <v>16.47</v>
      </c>
      <c r="B140" s="4">
        <v>3.23</v>
      </c>
      <c r="C140" s="6">
        <f>+Tabla2[[#This Row],[ tip ]]/Tabla2[[#This Row],[ total_bill ]]</f>
        <v>0.19611414693381907</v>
      </c>
      <c r="D140" s="3" t="s">
        <v>9</v>
      </c>
      <c r="E140" s="3" t="s">
        <v>14</v>
      </c>
      <c r="F140" s="3" t="s">
        <v>18</v>
      </c>
      <c r="G140" s="3" t="s">
        <v>16</v>
      </c>
      <c r="H140" s="3">
        <v>3</v>
      </c>
      <c r="I140" s="7">
        <f>+Tabla2[[#This Row],[ total_bill ]]/Tabla2[[#This Row],[table_size]]</f>
        <v>5.4899999999999993</v>
      </c>
    </row>
    <row r="141" spans="1:9" x14ac:dyDescent="0.3">
      <c r="A141" s="4">
        <v>16.45</v>
      </c>
      <c r="B141" s="4">
        <v>2.4700000000000002</v>
      </c>
      <c r="C141" s="6">
        <f>+Tabla2[[#This Row],[ tip ]]/Tabla2[[#This Row],[ total_bill ]]</f>
        <v>0.1501519756838906</v>
      </c>
      <c r="D141" s="3" t="s">
        <v>9</v>
      </c>
      <c r="E141" s="3" t="s">
        <v>10</v>
      </c>
      <c r="F141" s="3" t="s">
        <v>17</v>
      </c>
      <c r="G141" s="3" t="s">
        <v>12</v>
      </c>
      <c r="H141" s="3">
        <v>2</v>
      </c>
      <c r="I141" s="7">
        <f>+Tabla2[[#This Row],[ total_bill ]]/Tabla2[[#This Row],[table_size]]</f>
        <v>8.2249999999999996</v>
      </c>
    </row>
    <row r="142" spans="1:9" x14ac:dyDescent="0.3">
      <c r="A142" s="4">
        <v>16.43</v>
      </c>
      <c r="B142" s="4">
        <v>2.2999999999999998</v>
      </c>
      <c r="C142" s="6">
        <f>+Tabla2[[#This Row],[ tip ]]/Tabla2[[#This Row],[ total_bill ]]</f>
        <v>0.13998782714546559</v>
      </c>
      <c r="D142" s="3" t="s">
        <v>9</v>
      </c>
      <c r="E142" s="3" t="s">
        <v>10</v>
      </c>
      <c r="F142" s="3" t="s">
        <v>18</v>
      </c>
      <c r="G142" s="3" t="s">
        <v>16</v>
      </c>
      <c r="H142" s="3">
        <v>2</v>
      </c>
      <c r="I142" s="7">
        <f>+Tabla2[[#This Row],[ total_bill ]]/Tabla2[[#This Row],[table_size]]</f>
        <v>8.2149999999999999</v>
      </c>
    </row>
    <row r="143" spans="1:9" x14ac:dyDescent="0.3">
      <c r="A143" s="4">
        <v>16.399999999999999</v>
      </c>
      <c r="B143" s="4">
        <v>2.5</v>
      </c>
      <c r="C143" s="6">
        <f>+Tabla2[[#This Row],[ tip ]]/Tabla2[[#This Row],[ total_bill ]]</f>
        <v>0.15243902439024393</v>
      </c>
      <c r="D143" s="3" t="s">
        <v>9</v>
      </c>
      <c r="E143" s="3" t="s">
        <v>14</v>
      </c>
      <c r="F143" s="3" t="s">
        <v>18</v>
      </c>
      <c r="G143" s="3" t="s">
        <v>16</v>
      </c>
      <c r="H143" s="3">
        <v>2</v>
      </c>
      <c r="I143" s="7">
        <f>+Tabla2[[#This Row],[ total_bill ]]/Tabla2[[#This Row],[table_size]]</f>
        <v>8.1999999999999993</v>
      </c>
    </row>
    <row r="144" spans="1:9" x14ac:dyDescent="0.3">
      <c r="A144" s="4">
        <v>16.32</v>
      </c>
      <c r="B144" s="4">
        <v>4.3</v>
      </c>
      <c r="C144" s="6">
        <f>+Tabla2[[#This Row],[ tip ]]/Tabla2[[#This Row],[ total_bill ]]</f>
        <v>0.26348039215686275</v>
      </c>
      <c r="D144" s="3" t="s">
        <v>9</v>
      </c>
      <c r="E144" s="3" t="s">
        <v>14</v>
      </c>
      <c r="F144" s="3" t="s">
        <v>15</v>
      </c>
      <c r="G144" s="3" t="s">
        <v>12</v>
      </c>
      <c r="H144" s="3">
        <v>2</v>
      </c>
      <c r="I144" s="7">
        <f>+Tabla2[[#This Row],[ total_bill ]]/Tabla2[[#This Row],[table_size]]</f>
        <v>8.16</v>
      </c>
    </row>
    <row r="145" spans="1:9" x14ac:dyDescent="0.3">
      <c r="A145" s="4">
        <v>16.309999999999999</v>
      </c>
      <c r="B145" s="4">
        <v>2</v>
      </c>
      <c r="C145" s="6">
        <f>+Tabla2[[#This Row],[ tip ]]/Tabla2[[#This Row],[ total_bill ]]</f>
        <v>0.12262415695892091</v>
      </c>
      <c r="D145" s="3" t="s">
        <v>13</v>
      </c>
      <c r="E145" s="3" t="s">
        <v>10</v>
      </c>
      <c r="F145" s="3" t="s">
        <v>17</v>
      </c>
      <c r="G145" s="3" t="s">
        <v>12</v>
      </c>
      <c r="H145" s="3">
        <v>3</v>
      </c>
      <c r="I145" s="7">
        <f>+Tabla2[[#This Row],[ total_bill ]]/Tabla2[[#This Row],[table_size]]</f>
        <v>5.4366666666666665</v>
      </c>
    </row>
    <row r="146" spans="1:9" x14ac:dyDescent="0.3">
      <c r="A146" s="4">
        <v>16.29</v>
      </c>
      <c r="B146" s="4">
        <v>3.71</v>
      </c>
      <c r="C146" s="6">
        <f>+Tabla2[[#This Row],[ tip ]]/Tabla2[[#This Row],[ total_bill ]]</f>
        <v>0.22774708410067526</v>
      </c>
      <c r="D146" s="3" t="s">
        <v>13</v>
      </c>
      <c r="E146" s="3" t="s">
        <v>10</v>
      </c>
      <c r="F146" s="3" t="s">
        <v>11</v>
      </c>
      <c r="G146" s="3" t="s">
        <v>12</v>
      </c>
      <c r="H146" s="3">
        <v>3</v>
      </c>
      <c r="I146" s="7">
        <f>+Tabla2[[#This Row],[ total_bill ]]/Tabla2[[#This Row],[table_size]]</f>
        <v>5.43</v>
      </c>
    </row>
    <row r="147" spans="1:9" x14ac:dyDescent="0.3">
      <c r="A147" s="4">
        <v>16.27</v>
      </c>
      <c r="B147" s="4">
        <v>2.5</v>
      </c>
      <c r="C147" s="6">
        <f>+Tabla2[[#This Row],[ tip ]]/Tabla2[[#This Row],[ total_bill ]]</f>
        <v>0.15365703749231716</v>
      </c>
      <c r="D147" s="3" t="s">
        <v>9</v>
      </c>
      <c r="E147" s="3" t="s">
        <v>14</v>
      </c>
      <c r="F147" s="3" t="s">
        <v>15</v>
      </c>
      <c r="G147" s="3" t="s">
        <v>16</v>
      </c>
      <c r="H147" s="3">
        <v>2</v>
      </c>
      <c r="I147" s="7">
        <f>+Tabla2[[#This Row],[ total_bill ]]/Tabla2[[#This Row],[table_size]]</f>
        <v>8.1349999999999998</v>
      </c>
    </row>
    <row r="148" spans="1:9" x14ac:dyDescent="0.3">
      <c r="A148" s="4">
        <v>16.21</v>
      </c>
      <c r="B148" s="4">
        <v>2</v>
      </c>
      <c r="C148" s="6">
        <f>+Tabla2[[#This Row],[ tip ]]/Tabla2[[#This Row],[ total_bill ]]</f>
        <v>0.12338062924120913</v>
      </c>
      <c r="D148" s="3" t="s">
        <v>9</v>
      </c>
      <c r="E148" s="3" t="s">
        <v>10</v>
      </c>
      <c r="F148" s="3" t="s">
        <v>11</v>
      </c>
      <c r="G148" s="3" t="s">
        <v>12</v>
      </c>
      <c r="H148" s="3">
        <v>3</v>
      </c>
      <c r="I148" s="7">
        <f>+Tabla2[[#This Row],[ total_bill ]]/Tabla2[[#This Row],[table_size]]</f>
        <v>5.4033333333333333</v>
      </c>
    </row>
    <row r="149" spans="1:9" x14ac:dyDescent="0.3">
      <c r="A149" s="4">
        <v>16.04</v>
      </c>
      <c r="B149" s="4">
        <v>2.2400000000000002</v>
      </c>
      <c r="C149" s="6">
        <f>+Tabla2[[#This Row],[ tip ]]/Tabla2[[#This Row],[ total_bill ]]</f>
        <v>0.13965087281795513</v>
      </c>
      <c r="D149" s="3" t="s">
        <v>13</v>
      </c>
      <c r="E149" s="3" t="s">
        <v>10</v>
      </c>
      <c r="F149" s="3" t="s">
        <v>17</v>
      </c>
      <c r="G149" s="3" t="s">
        <v>12</v>
      </c>
      <c r="H149" s="3">
        <v>3</v>
      </c>
      <c r="I149" s="7">
        <f>+Tabla2[[#This Row],[ total_bill ]]/Tabla2[[#This Row],[table_size]]</f>
        <v>5.3466666666666667</v>
      </c>
    </row>
    <row r="150" spans="1:9" x14ac:dyDescent="0.3">
      <c r="A150" s="4">
        <v>16</v>
      </c>
      <c r="B150" s="4">
        <v>2</v>
      </c>
      <c r="C150" s="6">
        <f>+Tabla2[[#This Row],[ tip ]]/Tabla2[[#This Row],[ total_bill ]]</f>
        <v>0.125</v>
      </c>
      <c r="D150" s="3" t="s">
        <v>13</v>
      </c>
      <c r="E150" s="3" t="s">
        <v>14</v>
      </c>
      <c r="F150" s="3" t="s">
        <v>18</v>
      </c>
      <c r="G150" s="3" t="s">
        <v>16</v>
      </c>
      <c r="H150" s="3">
        <v>2</v>
      </c>
      <c r="I150" s="7">
        <f>+Tabla2[[#This Row],[ total_bill ]]/Tabla2[[#This Row],[table_size]]</f>
        <v>8</v>
      </c>
    </row>
    <row r="151" spans="1:9" x14ac:dyDescent="0.3">
      <c r="A151" s="4">
        <v>15.98</v>
      </c>
      <c r="B151" s="4">
        <v>3</v>
      </c>
      <c r="C151" s="6">
        <f>+Tabla2[[#This Row],[ tip ]]/Tabla2[[#This Row],[ total_bill ]]</f>
        <v>0.18773466833541927</v>
      </c>
      <c r="D151" s="3" t="s">
        <v>9</v>
      </c>
      <c r="E151" s="3" t="s">
        <v>10</v>
      </c>
      <c r="F151" s="3" t="s">
        <v>15</v>
      </c>
      <c r="G151" s="3" t="s">
        <v>16</v>
      </c>
      <c r="H151" s="3">
        <v>3</v>
      </c>
      <c r="I151" s="7">
        <f>+Tabla2[[#This Row],[ total_bill ]]/Tabla2[[#This Row],[table_size]]</f>
        <v>5.3266666666666671</v>
      </c>
    </row>
    <row r="152" spans="1:9" x14ac:dyDescent="0.3">
      <c r="A152" s="4">
        <v>15.98</v>
      </c>
      <c r="B152" s="4">
        <v>2.0299999999999998</v>
      </c>
      <c r="C152" s="6">
        <f>+Tabla2[[#This Row],[ tip ]]/Tabla2[[#This Row],[ total_bill ]]</f>
        <v>0.12703379224030037</v>
      </c>
      <c r="D152" s="3" t="s">
        <v>13</v>
      </c>
      <c r="E152" s="3" t="s">
        <v>10</v>
      </c>
      <c r="F152" s="3" t="s">
        <v>18</v>
      </c>
      <c r="G152" s="3" t="s">
        <v>16</v>
      </c>
      <c r="H152" s="3">
        <v>2</v>
      </c>
      <c r="I152" s="7">
        <f>+Tabla2[[#This Row],[ total_bill ]]/Tabla2[[#This Row],[table_size]]</f>
        <v>7.99</v>
      </c>
    </row>
    <row r="153" spans="1:9" x14ac:dyDescent="0.3">
      <c r="A153" s="4">
        <v>15.95</v>
      </c>
      <c r="B153" s="4">
        <v>2</v>
      </c>
      <c r="C153" s="6">
        <f>+Tabla2[[#This Row],[ tip ]]/Tabla2[[#This Row],[ total_bill ]]</f>
        <v>0.12539184952978058</v>
      </c>
      <c r="D153" s="3" t="s">
        <v>13</v>
      </c>
      <c r="E153" s="3" t="s">
        <v>10</v>
      </c>
      <c r="F153" s="3" t="s">
        <v>18</v>
      </c>
      <c r="G153" s="3" t="s">
        <v>16</v>
      </c>
      <c r="H153" s="3">
        <v>2</v>
      </c>
      <c r="I153" s="7">
        <f>+Tabla2[[#This Row],[ total_bill ]]/Tabla2[[#This Row],[table_size]]</f>
        <v>7.9749999999999996</v>
      </c>
    </row>
    <row r="154" spans="1:9" x14ac:dyDescent="0.3">
      <c r="A154" s="4">
        <v>15.81</v>
      </c>
      <c r="B154" s="4">
        <v>3.16</v>
      </c>
      <c r="C154" s="6">
        <f>+Tabla2[[#This Row],[ tip ]]/Tabla2[[#This Row],[ total_bill ]]</f>
        <v>0.19987349778621127</v>
      </c>
      <c r="D154" s="3" t="s">
        <v>13</v>
      </c>
      <c r="E154" s="3" t="s">
        <v>14</v>
      </c>
      <c r="F154" s="3" t="s">
        <v>17</v>
      </c>
      <c r="G154" s="3" t="s">
        <v>12</v>
      </c>
      <c r="H154" s="3">
        <v>2</v>
      </c>
      <c r="I154" s="7">
        <f>+Tabla2[[#This Row],[ total_bill ]]/Tabla2[[#This Row],[table_size]]</f>
        <v>7.9050000000000002</v>
      </c>
    </row>
    <row r="155" spans="1:9" x14ac:dyDescent="0.3">
      <c r="A155" s="4">
        <v>15.77</v>
      </c>
      <c r="B155" s="4">
        <v>2.23</v>
      </c>
      <c r="C155" s="6">
        <f>+Tabla2[[#This Row],[ tip ]]/Tabla2[[#This Row],[ total_bill ]]</f>
        <v>0.14140773620798985</v>
      </c>
      <c r="D155" s="3" t="s">
        <v>9</v>
      </c>
      <c r="E155" s="3" t="s">
        <v>10</v>
      </c>
      <c r="F155" s="3" t="s">
        <v>17</v>
      </c>
      <c r="G155" s="3" t="s">
        <v>12</v>
      </c>
      <c r="H155" s="3">
        <v>2</v>
      </c>
      <c r="I155" s="7">
        <f>+Tabla2[[#This Row],[ total_bill ]]/Tabla2[[#This Row],[table_size]]</f>
        <v>7.8849999999999998</v>
      </c>
    </row>
    <row r="156" spans="1:9" x14ac:dyDescent="0.3">
      <c r="A156" s="4">
        <v>15.69</v>
      </c>
      <c r="B156" s="4">
        <v>3</v>
      </c>
      <c r="C156" s="6">
        <f>+Tabla2[[#This Row],[ tip ]]/Tabla2[[#This Row],[ total_bill ]]</f>
        <v>0.19120458891013384</v>
      </c>
      <c r="D156" s="3" t="s">
        <v>13</v>
      </c>
      <c r="E156" s="3" t="s">
        <v>14</v>
      </c>
      <c r="F156" s="3" t="s">
        <v>17</v>
      </c>
      <c r="G156" s="3" t="s">
        <v>12</v>
      </c>
      <c r="H156" s="3">
        <v>3</v>
      </c>
      <c r="I156" s="7">
        <f>+Tabla2[[#This Row],[ total_bill ]]/Tabla2[[#This Row],[table_size]]</f>
        <v>5.2299999999999995</v>
      </c>
    </row>
    <row r="157" spans="1:9" x14ac:dyDescent="0.3">
      <c r="A157" s="4">
        <v>15.69</v>
      </c>
      <c r="B157" s="4">
        <v>1.5</v>
      </c>
      <c r="C157" s="6">
        <f>+Tabla2[[#This Row],[ tip ]]/Tabla2[[#This Row],[ total_bill ]]</f>
        <v>9.5602294455066919E-2</v>
      </c>
      <c r="D157" s="3" t="s">
        <v>13</v>
      </c>
      <c r="E157" s="3" t="s">
        <v>14</v>
      </c>
      <c r="F157" s="3" t="s">
        <v>11</v>
      </c>
      <c r="G157" s="3" t="s">
        <v>12</v>
      </c>
      <c r="H157" s="3">
        <v>2</v>
      </c>
      <c r="I157" s="7">
        <f>+Tabla2[[#This Row],[ total_bill ]]/Tabla2[[#This Row],[table_size]]</f>
        <v>7.8449999999999998</v>
      </c>
    </row>
    <row r="158" spans="1:9" x14ac:dyDescent="0.3">
      <c r="A158" s="4">
        <v>15.53</v>
      </c>
      <c r="B158" s="4">
        <v>3</v>
      </c>
      <c r="C158" s="6">
        <f>+Tabla2[[#This Row],[ tip ]]/Tabla2[[#This Row],[ total_bill ]]</f>
        <v>0.19317450096587252</v>
      </c>
      <c r="D158" s="3" t="s">
        <v>13</v>
      </c>
      <c r="E158" s="3" t="s">
        <v>14</v>
      </c>
      <c r="F158" s="3" t="s">
        <v>17</v>
      </c>
      <c r="G158" s="3" t="s">
        <v>12</v>
      </c>
      <c r="H158" s="3">
        <v>2</v>
      </c>
      <c r="I158" s="7">
        <f>+Tabla2[[#This Row],[ total_bill ]]/Tabla2[[#This Row],[table_size]]</f>
        <v>7.7649999999999997</v>
      </c>
    </row>
    <row r="159" spans="1:9" x14ac:dyDescent="0.3">
      <c r="A159" s="4">
        <v>15.48</v>
      </c>
      <c r="B159" s="4">
        <v>2.02</v>
      </c>
      <c r="C159" s="6">
        <f>+Tabla2[[#This Row],[ tip ]]/Tabla2[[#This Row],[ total_bill ]]</f>
        <v>0.13049095607235142</v>
      </c>
      <c r="D159" s="3" t="s">
        <v>13</v>
      </c>
      <c r="E159" s="3" t="s">
        <v>14</v>
      </c>
      <c r="F159" s="3" t="s">
        <v>18</v>
      </c>
      <c r="G159" s="3" t="s">
        <v>16</v>
      </c>
      <c r="H159" s="3">
        <v>2</v>
      </c>
      <c r="I159" s="7">
        <f>+Tabla2[[#This Row],[ total_bill ]]/Tabla2[[#This Row],[table_size]]</f>
        <v>7.74</v>
      </c>
    </row>
    <row r="160" spans="1:9" x14ac:dyDescent="0.3">
      <c r="A160" s="4">
        <v>15.42</v>
      </c>
      <c r="B160" s="4">
        <v>1.57</v>
      </c>
      <c r="C160" s="6">
        <f>+Tabla2[[#This Row],[ tip ]]/Tabla2[[#This Row],[ total_bill ]]</f>
        <v>0.10181582360570687</v>
      </c>
      <c r="D160" s="3" t="s">
        <v>13</v>
      </c>
      <c r="E160" s="3" t="s">
        <v>10</v>
      </c>
      <c r="F160" s="3" t="s">
        <v>11</v>
      </c>
      <c r="G160" s="3" t="s">
        <v>12</v>
      </c>
      <c r="H160" s="3">
        <v>2</v>
      </c>
      <c r="I160" s="7">
        <f>+Tabla2[[#This Row],[ total_bill ]]/Tabla2[[#This Row],[table_size]]</f>
        <v>7.71</v>
      </c>
    </row>
    <row r="161" spans="1:9" x14ac:dyDescent="0.3">
      <c r="A161" s="4">
        <v>15.38</v>
      </c>
      <c r="B161" s="4">
        <v>3</v>
      </c>
      <c r="C161" s="6">
        <f>+Tabla2[[#This Row],[ tip ]]/Tabla2[[#This Row],[ total_bill ]]</f>
        <v>0.19505851755526657</v>
      </c>
      <c r="D161" s="3" t="s">
        <v>9</v>
      </c>
      <c r="E161" s="3" t="s">
        <v>14</v>
      </c>
      <c r="F161" s="3" t="s">
        <v>15</v>
      </c>
      <c r="G161" s="3" t="s">
        <v>12</v>
      </c>
      <c r="H161" s="3">
        <v>2</v>
      </c>
      <c r="I161" s="7">
        <f>+Tabla2[[#This Row],[ total_bill ]]/Tabla2[[#This Row],[table_size]]</f>
        <v>7.69</v>
      </c>
    </row>
    <row r="162" spans="1:9" x14ac:dyDescent="0.3">
      <c r="A162" s="4">
        <v>15.36</v>
      </c>
      <c r="B162" s="4">
        <v>1.64</v>
      </c>
      <c r="C162" s="6">
        <f>+Tabla2[[#This Row],[ tip ]]/Tabla2[[#This Row],[ total_bill ]]</f>
        <v>0.10677083333333333</v>
      </c>
      <c r="D162" s="3" t="s">
        <v>13</v>
      </c>
      <c r="E162" s="3" t="s">
        <v>14</v>
      </c>
      <c r="F162" s="3" t="s">
        <v>17</v>
      </c>
      <c r="G162" s="3" t="s">
        <v>12</v>
      </c>
      <c r="H162" s="3">
        <v>2</v>
      </c>
      <c r="I162" s="7">
        <f>+Tabla2[[#This Row],[ total_bill ]]/Tabla2[[#This Row],[table_size]]</f>
        <v>7.68</v>
      </c>
    </row>
    <row r="163" spans="1:9" x14ac:dyDescent="0.3">
      <c r="A163" s="4">
        <v>15.06</v>
      </c>
      <c r="B163" s="4">
        <v>3</v>
      </c>
      <c r="C163" s="6">
        <f>+Tabla2[[#This Row],[ tip ]]/Tabla2[[#This Row],[ total_bill ]]</f>
        <v>0.19920318725099601</v>
      </c>
      <c r="D163" s="3" t="s">
        <v>9</v>
      </c>
      <c r="E163" s="3" t="s">
        <v>10</v>
      </c>
      <c r="F163" s="3" t="s">
        <v>17</v>
      </c>
      <c r="G163" s="3" t="s">
        <v>12</v>
      </c>
      <c r="H163" s="3">
        <v>2</v>
      </c>
      <c r="I163" s="7">
        <f>+Tabla2[[#This Row],[ total_bill ]]/Tabla2[[#This Row],[table_size]]</f>
        <v>7.53</v>
      </c>
    </row>
    <row r="164" spans="1:9" x14ac:dyDescent="0.3">
      <c r="A164" s="4">
        <v>15.04</v>
      </c>
      <c r="B164" s="4">
        <v>1.96</v>
      </c>
      <c r="C164" s="6">
        <f>+Tabla2[[#This Row],[ tip ]]/Tabla2[[#This Row],[ total_bill ]]</f>
        <v>0.13031914893617022</v>
      </c>
      <c r="D164" s="3" t="s">
        <v>13</v>
      </c>
      <c r="E164" s="3" t="s">
        <v>10</v>
      </c>
      <c r="F164" s="3" t="s">
        <v>11</v>
      </c>
      <c r="G164" s="3" t="s">
        <v>12</v>
      </c>
      <c r="H164" s="3">
        <v>2</v>
      </c>
      <c r="I164" s="7">
        <f>+Tabla2[[#This Row],[ total_bill ]]/Tabla2[[#This Row],[table_size]]</f>
        <v>7.52</v>
      </c>
    </row>
    <row r="165" spans="1:9" x14ac:dyDescent="0.3">
      <c r="A165" s="4">
        <v>15.01</v>
      </c>
      <c r="B165" s="4">
        <v>2.09</v>
      </c>
      <c r="C165" s="6">
        <f>+Tabla2[[#This Row],[ tip ]]/Tabla2[[#This Row],[ total_bill ]]</f>
        <v>0.13924050632911392</v>
      </c>
      <c r="D165" s="3" t="s">
        <v>13</v>
      </c>
      <c r="E165" s="3" t="s">
        <v>14</v>
      </c>
      <c r="F165" s="3" t="s">
        <v>17</v>
      </c>
      <c r="G165" s="3" t="s">
        <v>12</v>
      </c>
      <c r="H165" s="3">
        <v>2</v>
      </c>
      <c r="I165" s="7">
        <f>+Tabla2[[#This Row],[ total_bill ]]/Tabla2[[#This Row],[table_size]]</f>
        <v>7.5049999999999999</v>
      </c>
    </row>
    <row r="166" spans="1:9" x14ac:dyDescent="0.3">
      <c r="A166" s="4">
        <v>14.83</v>
      </c>
      <c r="B166" s="4">
        <v>3.02</v>
      </c>
      <c r="C166" s="6">
        <f>+Tabla2[[#This Row],[ tip ]]/Tabla2[[#This Row],[ total_bill ]]</f>
        <v>0.20364126770060686</v>
      </c>
      <c r="D166" s="3" t="s">
        <v>9</v>
      </c>
      <c r="E166" s="3" t="s">
        <v>10</v>
      </c>
      <c r="F166" s="3" t="s">
        <v>11</v>
      </c>
      <c r="G166" s="3" t="s">
        <v>12</v>
      </c>
      <c r="H166" s="3">
        <v>2</v>
      </c>
      <c r="I166" s="7">
        <f>+Tabla2[[#This Row],[ total_bill ]]/Tabla2[[#This Row],[table_size]]</f>
        <v>7.415</v>
      </c>
    </row>
    <row r="167" spans="1:9" x14ac:dyDescent="0.3">
      <c r="A167" s="4">
        <v>14.78</v>
      </c>
      <c r="B167" s="4">
        <v>3.23</v>
      </c>
      <c r="C167" s="6">
        <f>+Tabla2[[#This Row],[ tip ]]/Tabla2[[#This Row],[ total_bill ]]</f>
        <v>0.21853856562922869</v>
      </c>
      <c r="D167" s="3" t="s">
        <v>13</v>
      </c>
      <c r="E167" s="3" t="s">
        <v>10</v>
      </c>
      <c r="F167" s="3" t="s">
        <v>11</v>
      </c>
      <c r="G167" s="3" t="s">
        <v>12</v>
      </c>
      <c r="H167" s="3">
        <v>2</v>
      </c>
      <c r="I167" s="7">
        <f>+Tabla2[[#This Row],[ total_bill ]]/Tabla2[[#This Row],[table_size]]</f>
        <v>7.39</v>
      </c>
    </row>
    <row r="168" spans="1:9" x14ac:dyDescent="0.3">
      <c r="A168" s="4">
        <v>14.73</v>
      </c>
      <c r="B168" s="4">
        <v>2.2000000000000002</v>
      </c>
      <c r="C168" s="6">
        <f>+Tabla2[[#This Row],[ tip ]]/Tabla2[[#This Row],[ total_bill ]]</f>
        <v>0.14935505770536323</v>
      </c>
      <c r="D168" s="3" t="s">
        <v>9</v>
      </c>
      <c r="E168" s="3" t="s">
        <v>10</v>
      </c>
      <c r="F168" s="3" t="s">
        <v>17</v>
      </c>
      <c r="G168" s="3" t="s">
        <v>12</v>
      </c>
      <c r="H168" s="3">
        <v>2</v>
      </c>
      <c r="I168" s="7">
        <f>+Tabla2[[#This Row],[ total_bill ]]/Tabla2[[#This Row],[table_size]]</f>
        <v>7.3650000000000002</v>
      </c>
    </row>
    <row r="169" spans="1:9" x14ac:dyDescent="0.3">
      <c r="A169" s="4">
        <v>14.52</v>
      </c>
      <c r="B169" s="4">
        <v>2</v>
      </c>
      <c r="C169" s="6">
        <f>+Tabla2[[#This Row],[ tip ]]/Tabla2[[#This Row],[ total_bill ]]</f>
        <v>0.13774104683195593</v>
      </c>
      <c r="D169" s="3" t="s">
        <v>9</v>
      </c>
      <c r="E169" s="3" t="s">
        <v>10</v>
      </c>
      <c r="F169" s="3" t="s">
        <v>18</v>
      </c>
      <c r="G169" s="3" t="s">
        <v>16</v>
      </c>
      <c r="H169" s="3">
        <v>2</v>
      </c>
      <c r="I169" s="7">
        <f>+Tabla2[[#This Row],[ total_bill ]]/Tabla2[[#This Row],[table_size]]</f>
        <v>7.26</v>
      </c>
    </row>
    <row r="170" spans="1:9" x14ac:dyDescent="0.3">
      <c r="A170" s="4">
        <v>14.48</v>
      </c>
      <c r="B170" s="4">
        <v>2</v>
      </c>
      <c r="C170" s="6">
        <f>+Tabla2[[#This Row],[ tip ]]/Tabla2[[#This Row],[ total_bill ]]</f>
        <v>0.13812154696132597</v>
      </c>
      <c r="D170" s="3" t="s">
        <v>13</v>
      </c>
      <c r="E170" s="3" t="s">
        <v>14</v>
      </c>
      <c r="F170" s="3" t="s">
        <v>11</v>
      </c>
      <c r="G170" s="3" t="s">
        <v>12</v>
      </c>
      <c r="H170" s="3">
        <v>2</v>
      </c>
      <c r="I170" s="7">
        <f>+Tabla2[[#This Row],[ total_bill ]]/Tabla2[[#This Row],[table_size]]</f>
        <v>7.24</v>
      </c>
    </row>
    <row r="171" spans="1:9" x14ac:dyDescent="0.3">
      <c r="A171" s="4">
        <v>14.31</v>
      </c>
      <c r="B171" s="4">
        <v>4</v>
      </c>
      <c r="C171" s="6">
        <f>+Tabla2[[#This Row],[ tip ]]/Tabla2[[#This Row],[ total_bill ]]</f>
        <v>0.27952480782669459</v>
      </c>
      <c r="D171" s="3" t="s">
        <v>9</v>
      </c>
      <c r="E171" s="3" t="s">
        <v>14</v>
      </c>
      <c r="F171" s="3" t="s">
        <v>17</v>
      </c>
      <c r="G171" s="3" t="s">
        <v>12</v>
      </c>
      <c r="H171" s="3">
        <v>2</v>
      </c>
      <c r="I171" s="7">
        <f>+Tabla2[[#This Row],[ total_bill ]]/Tabla2[[#This Row],[table_size]]</f>
        <v>7.1550000000000002</v>
      </c>
    </row>
    <row r="172" spans="1:9" x14ac:dyDescent="0.3">
      <c r="A172" s="4">
        <v>14.26</v>
      </c>
      <c r="B172" s="4">
        <v>2.5</v>
      </c>
      <c r="C172" s="6">
        <f>+Tabla2[[#This Row],[ tip ]]/Tabla2[[#This Row],[ total_bill ]]</f>
        <v>0.17531556802244039</v>
      </c>
      <c r="D172" s="3" t="s">
        <v>13</v>
      </c>
      <c r="E172" s="3" t="s">
        <v>10</v>
      </c>
      <c r="F172" s="3" t="s">
        <v>18</v>
      </c>
      <c r="G172" s="3" t="s">
        <v>16</v>
      </c>
      <c r="H172" s="3">
        <v>2</v>
      </c>
      <c r="I172" s="7">
        <f>+Tabla2[[#This Row],[ total_bill ]]/Tabla2[[#This Row],[table_size]]</f>
        <v>7.13</v>
      </c>
    </row>
    <row r="173" spans="1:9" x14ac:dyDescent="0.3">
      <c r="A173" s="4">
        <v>14.15</v>
      </c>
      <c r="B173" s="4">
        <v>2</v>
      </c>
      <c r="C173" s="6">
        <f>+Tabla2[[#This Row],[ tip ]]/Tabla2[[#This Row],[ total_bill ]]</f>
        <v>0.14134275618374559</v>
      </c>
      <c r="D173" s="3" t="s">
        <v>9</v>
      </c>
      <c r="E173" s="3" t="s">
        <v>10</v>
      </c>
      <c r="F173" s="3" t="s">
        <v>18</v>
      </c>
      <c r="G173" s="3" t="s">
        <v>16</v>
      </c>
      <c r="H173" s="3">
        <v>2</v>
      </c>
      <c r="I173" s="7">
        <f>+Tabla2[[#This Row],[ total_bill ]]/Tabla2[[#This Row],[table_size]]</f>
        <v>7.0750000000000002</v>
      </c>
    </row>
    <row r="174" spans="1:9" x14ac:dyDescent="0.3">
      <c r="A174" s="4">
        <v>14.07</v>
      </c>
      <c r="B174" s="4">
        <v>2.5</v>
      </c>
      <c r="C174" s="6">
        <f>+Tabla2[[#This Row],[ tip ]]/Tabla2[[#This Row],[ total_bill ]]</f>
        <v>0.17768301350390903</v>
      </c>
      <c r="D174" s="3" t="s">
        <v>13</v>
      </c>
      <c r="E174" s="3" t="s">
        <v>10</v>
      </c>
      <c r="F174" s="3" t="s">
        <v>11</v>
      </c>
      <c r="G174" s="3" t="s">
        <v>12</v>
      </c>
      <c r="H174" s="3">
        <v>2</v>
      </c>
      <c r="I174" s="7">
        <f>+Tabla2[[#This Row],[ total_bill ]]/Tabla2[[#This Row],[table_size]]</f>
        <v>7.0350000000000001</v>
      </c>
    </row>
    <row r="175" spans="1:9" x14ac:dyDescent="0.3">
      <c r="A175" s="4">
        <v>14</v>
      </c>
      <c r="B175" s="4">
        <v>3</v>
      </c>
      <c r="C175" s="6">
        <f>+Tabla2[[#This Row],[ tip ]]/Tabla2[[#This Row],[ total_bill ]]</f>
        <v>0.21428571428571427</v>
      </c>
      <c r="D175" s="3" t="s">
        <v>13</v>
      </c>
      <c r="E175" s="3" t="s">
        <v>10</v>
      </c>
      <c r="F175" s="3" t="s">
        <v>17</v>
      </c>
      <c r="G175" s="3" t="s">
        <v>12</v>
      </c>
      <c r="H175" s="3">
        <v>2</v>
      </c>
      <c r="I175" s="7">
        <f>+Tabla2[[#This Row],[ total_bill ]]/Tabla2[[#This Row],[table_size]]</f>
        <v>7</v>
      </c>
    </row>
    <row r="176" spans="1:9" x14ac:dyDescent="0.3">
      <c r="A176" s="4">
        <v>13.94</v>
      </c>
      <c r="B176" s="4">
        <v>3.06</v>
      </c>
      <c r="C176" s="6">
        <f>+Tabla2[[#This Row],[ tip ]]/Tabla2[[#This Row],[ total_bill ]]</f>
        <v>0.21951219512195122</v>
      </c>
      <c r="D176" s="3" t="s">
        <v>13</v>
      </c>
      <c r="E176" s="3" t="s">
        <v>10</v>
      </c>
      <c r="F176" s="3" t="s">
        <v>11</v>
      </c>
      <c r="G176" s="3" t="s">
        <v>12</v>
      </c>
      <c r="H176" s="3">
        <v>2</v>
      </c>
      <c r="I176" s="7">
        <f>+Tabla2[[#This Row],[ total_bill ]]/Tabla2[[#This Row],[table_size]]</f>
        <v>6.97</v>
      </c>
    </row>
    <row r="177" spans="1:9" x14ac:dyDescent="0.3">
      <c r="A177" s="4">
        <v>13.81</v>
      </c>
      <c r="B177" s="4">
        <v>2</v>
      </c>
      <c r="C177" s="6">
        <f>+Tabla2[[#This Row],[ tip ]]/Tabla2[[#This Row],[ total_bill ]]</f>
        <v>0.14482259232440259</v>
      </c>
      <c r="D177" s="3" t="s">
        <v>13</v>
      </c>
      <c r="E177" s="3" t="s">
        <v>14</v>
      </c>
      <c r="F177" s="3" t="s">
        <v>17</v>
      </c>
      <c r="G177" s="3" t="s">
        <v>12</v>
      </c>
      <c r="H177" s="3">
        <v>2</v>
      </c>
      <c r="I177" s="7">
        <f>+Tabla2[[#This Row],[ total_bill ]]/Tabla2[[#This Row],[table_size]]</f>
        <v>6.9050000000000002</v>
      </c>
    </row>
    <row r="178" spans="1:9" x14ac:dyDescent="0.3">
      <c r="A178" s="4">
        <v>13.81</v>
      </c>
      <c r="B178" s="4">
        <v>2</v>
      </c>
      <c r="C178" s="6">
        <f>+Tabla2[[#This Row],[ tip ]]/Tabla2[[#This Row],[ total_bill ]]</f>
        <v>0.14482259232440259</v>
      </c>
      <c r="D178" s="3" t="s">
        <v>13</v>
      </c>
      <c r="E178" s="3" t="s">
        <v>10</v>
      </c>
      <c r="F178" s="3" t="s">
        <v>11</v>
      </c>
      <c r="G178" s="3" t="s">
        <v>12</v>
      </c>
      <c r="H178" s="3">
        <v>2</v>
      </c>
      <c r="I178" s="7">
        <f>+Tabla2[[#This Row],[ total_bill ]]/Tabla2[[#This Row],[table_size]]</f>
        <v>6.9050000000000002</v>
      </c>
    </row>
    <row r="179" spans="1:9" x14ac:dyDescent="0.3">
      <c r="A179" s="4">
        <v>13.51</v>
      </c>
      <c r="B179" s="4">
        <v>2</v>
      </c>
      <c r="C179" s="6">
        <f>+Tabla2[[#This Row],[ tip ]]/Tabla2[[#This Row],[ total_bill ]]</f>
        <v>0.14803849000740193</v>
      </c>
      <c r="D179" s="3" t="s">
        <v>13</v>
      </c>
      <c r="E179" s="3" t="s">
        <v>14</v>
      </c>
      <c r="F179" s="3" t="s">
        <v>18</v>
      </c>
      <c r="G179" s="3" t="s">
        <v>16</v>
      </c>
      <c r="H179" s="3">
        <v>2</v>
      </c>
      <c r="I179" s="7">
        <f>+Tabla2[[#This Row],[ total_bill ]]/Tabla2[[#This Row],[table_size]]</f>
        <v>6.7549999999999999</v>
      </c>
    </row>
    <row r="180" spans="1:9" x14ac:dyDescent="0.3">
      <c r="A180" s="4">
        <v>13.42</v>
      </c>
      <c r="B180" s="4">
        <v>3.48</v>
      </c>
      <c r="C180" s="6">
        <f>+Tabla2[[#This Row],[ tip ]]/Tabla2[[#This Row],[ total_bill ]]</f>
        <v>0.25931445603576753</v>
      </c>
      <c r="D180" s="3" t="s">
        <v>9</v>
      </c>
      <c r="E180" s="3" t="s">
        <v>14</v>
      </c>
      <c r="F180" s="3" t="s">
        <v>15</v>
      </c>
      <c r="G180" s="3" t="s">
        <v>16</v>
      </c>
      <c r="H180" s="3">
        <v>2</v>
      </c>
      <c r="I180" s="7">
        <f>+Tabla2[[#This Row],[ total_bill ]]/Tabla2[[#This Row],[table_size]]</f>
        <v>6.71</v>
      </c>
    </row>
    <row r="181" spans="1:9" x14ac:dyDescent="0.3">
      <c r="A181" s="4">
        <v>13.42</v>
      </c>
      <c r="B181" s="4">
        <v>1.68</v>
      </c>
      <c r="C181" s="6">
        <f>+Tabla2[[#This Row],[ tip ]]/Tabla2[[#This Row],[ total_bill ]]</f>
        <v>0.12518628912071533</v>
      </c>
      <c r="D181" s="3" t="s">
        <v>9</v>
      </c>
      <c r="E181" s="3" t="s">
        <v>10</v>
      </c>
      <c r="F181" s="3" t="s">
        <v>18</v>
      </c>
      <c r="G181" s="3" t="s">
        <v>16</v>
      </c>
      <c r="H181" s="3">
        <v>2</v>
      </c>
      <c r="I181" s="7">
        <f>+Tabla2[[#This Row],[ total_bill ]]/Tabla2[[#This Row],[table_size]]</f>
        <v>6.71</v>
      </c>
    </row>
    <row r="182" spans="1:9" x14ac:dyDescent="0.3">
      <c r="A182" s="4">
        <v>13.42</v>
      </c>
      <c r="B182" s="4">
        <v>1.58</v>
      </c>
      <c r="C182" s="6">
        <f>+Tabla2[[#This Row],[ tip ]]/Tabla2[[#This Row],[ total_bill ]]</f>
        <v>0.11773472429210134</v>
      </c>
      <c r="D182" s="3" t="s">
        <v>13</v>
      </c>
      <c r="E182" s="3" t="s">
        <v>14</v>
      </c>
      <c r="F182" s="3" t="s">
        <v>15</v>
      </c>
      <c r="G182" s="3" t="s">
        <v>16</v>
      </c>
      <c r="H182" s="3">
        <v>2</v>
      </c>
      <c r="I182" s="7">
        <f>+Tabla2[[#This Row],[ total_bill ]]/Tabla2[[#This Row],[table_size]]</f>
        <v>6.71</v>
      </c>
    </row>
    <row r="183" spans="1:9" x14ac:dyDescent="0.3">
      <c r="A183" s="4">
        <v>13.39</v>
      </c>
      <c r="B183" s="4">
        <v>2.61</v>
      </c>
      <c r="C183" s="6">
        <f>+Tabla2[[#This Row],[ tip ]]/Tabla2[[#This Row],[ total_bill ]]</f>
        <v>0.19492158327109782</v>
      </c>
      <c r="D183" s="3" t="s">
        <v>9</v>
      </c>
      <c r="E183" s="3" t="s">
        <v>10</v>
      </c>
      <c r="F183" s="3" t="s">
        <v>11</v>
      </c>
      <c r="G183" s="3" t="s">
        <v>12</v>
      </c>
      <c r="H183" s="3">
        <v>2</v>
      </c>
      <c r="I183" s="7">
        <f>+Tabla2[[#This Row],[ total_bill ]]/Tabla2[[#This Row],[table_size]]</f>
        <v>6.6950000000000003</v>
      </c>
    </row>
    <row r="184" spans="1:9" x14ac:dyDescent="0.3">
      <c r="A184" s="4">
        <v>13.37</v>
      </c>
      <c r="B184" s="4">
        <v>2</v>
      </c>
      <c r="C184" s="6">
        <f>+Tabla2[[#This Row],[ tip ]]/Tabla2[[#This Row],[ total_bill ]]</f>
        <v>0.14958863126402394</v>
      </c>
      <c r="D184" s="3" t="s">
        <v>13</v>
      </c>
      <c r="E184" s="3" t="s">
        <v>10</v>
      </c>
      <c r="F184" s="3" t="s">
        <v>17</v>
      </c>
      <c r="G184" s="3" t="s">
        <v>12</v>
      </c>
      <c r="H184" s="3">
        <v>2</v>
      </c>
      <c r="I184" s="7">
        <f>+Tabla2[[#This Row],[ total_bill ]]/Tabla2[[#This Row],[table_size]]</f>
        <v>6.6849999999999996</v>
      </c>
    </row>
    <row r="185" spans="1:9" x14ac:dyDescent="0.3">
      <c r="A185" s="4">
        <v>13.28</v>
      </c>
      <c r="B185" s="4">
        <v>2.72</v>
      </c>
      <c r="C185" s="6">
        <f>+Tabla2[[#This Row],[ tip ]]/Tabla2[[#This Row],[ total_bill ]]</f>
        <v>0.20481927710843376</v>
      </c>
      <c r="D185" s="3" t="s">
        <v>13</v>
      </c>
      <c r="E185" s="3" t="s">
        <v>10</v>
      </c>
      <c r="F185" s="3" t="s">
        <v>17</v>
      </c>
      <c r="G185" s="3" t="s">
        <v>12</v>
      </c>
      <c r="H185" s="3">
        <v>2</v>
      </c>
      <c r="I185" s="7">
        <f>+Tabla2[[#This Row],[ total_bill ]]/Tabla2[[#This Row],[table_size]]</f>
        <v>6.64</v>
      </c>
    </row>
    <row r="186" spans="1:9" x14ac:dyDescent="0.3">
      <c r="A186" s="4">
        <v>13.27</v>
      </c>
      <c r="B186" s="4">
        <v>2.5</v>
      </c>
      <c r="C186" s="6">
        <f>+Tabla2[[#This Row],[ tip ]]/Tabla2[[#This Row],[ total_bill ]]</f>
        <v>0.18839487565938207</v>
      </c>
      <c r="D186" s="3" t="s">
        <v>9</v>
      </c>
      <c r="E186" s="3" t="s">
        <v>14</v>
      </c>
      <c r="F186" s="3" t="s">
        <v>17</v>
      </c>
      <c r="G186" s="3" t="s">
        <v>12</v>
      </c>
      <c r="H186" s="3">
        <v>2</v>
      </c>
      <c r="I186" s="7">
        <f>+Tabla2[[#This Row],[ total_bill ]]/Tabla2[[#This Row],[table_size]]</f>
        <v>6.6349999999999998</v>
      </c>
    </row>
    <row r="187" spans="1:9" x14ac:dyDescent="0.3">
      <c r="A187" s="4">
        <v>13.16</v>
      </c>
      <c r="B187" s="4">
        <v>2.75</v>
      </c>
      <c r="C187" s="6">
        <f>+Tabla2[[#This Row],[ tip ]]/Tabla2[[#This Row],[ total_bill ]]</f>
        <v>0.20896656534954408</v>
      </c>
      <c r="D187" s="3" t="s">
        <v>9</v>
      </c>
      <c r="E187" s="3" t="s">
        <v>10</v>
      </c>
      <c r="F187" s="3" t="s">
        <v>18</v>
      </c>
      <c r="G187" s="3" t="s">
        <v>16</v>
      </c>
      <c r="H187" s="3">
        <v>2</v>
      </c>
      <c r="I187" s="7">
        <f>+Tabla2[[#This Row],[ total_bill ]]/Tabla2[[#This Row],[table_size]]</f>
        <v>6.58</v>
      </c>
    </row>
    <row r="188" spans="1:9" x14ac:dyDescent="0.3">
      <c r="A188" s="4">
        <v>13.13</v>
      </c>
      <c r="B188" s="4">
        <v>2</v>
      </c>
      <c r="C188" s="6">
        <f>+Tabla2[[#This Row],[ tip ]]/Tabla2[[#This Row],[ total_bill ]]</f>
        <v>0.15232292460015232</v>
      </c>
      <c r="D188" s="3" t="s">
        <v>13</v>
      </c>
      <c r="E188" s="3" t="s">
        <v>10</v>
      </c>
      <c r="F188" s="3" t="s">
        <v>11</v>
      </c>
      <c r="G188" s="3" t="s">
        <v>12</v>
      </c>
      <c r="H188" s="3">
        <v>2</v>
      </c>
      <c r="I188" s="7">
        <f>+Tabla2[[#This Row],[ total_bill ]]/Tabla2[[#This Row],[table_size]]</f>
        <v>6.5650000000000004</v>
      </c>
    </row>
    <row r="189" spans="1:9" x14ac:dyDescent="0.3">
      <c r="A189" s="4">
        <v>13.03</v>
      </c>
      <c r="B189" s="4">
        <v>2</v>
      </c>
      <c r="C189" s="6">
        <f>+Tabla2[[#This Row],[ tip ]]/Tabla2[[#This Row],[ total_bill ]]</f>
        <v>0.15349194167306218</v>
      </c>
      <c r="D189" s="3" t="s">
        <v>13</v>
      </c>
      <c r="E189" s="3" t="s">
        <v>10</v>
      </c>
      <c r="F189" s="3" t="s">
        <v>18</v>
      </c>
      <c r="G189" s="3" t="s">
        <v>16</v>
      </c>
      <c r="H189" s="3">
        <v>2</v>
      </c>
      <c r="I189" s="7">
        <f>+Tabla2[[#This Row],[ total_bill ]]/Tabla2[[#This Row],[table_size]]</f>
        <v>6.5149999999999997</v>
      </c>
    </row>
    <row r="190" spans="1:9" x14ac:dyDescent="0.3">
      <c r="A190" s="4">
        <v>13</v>
      </c>
      <c r="B190" s="4">
        <v>2</v>
      </c>
      <c r="C190" s="6">
        <f>+Tabla2[[#This Row],[ tip ]]/Tabla2[[#This Row],[ total_bill ]]</f>
        <v>0.15384615384615385</v>
      </c>
      <c r="D190" s="3" t="s">
        <v>9</v>
      </c>
      <c r="E190" s="3" t="s">
        <v>14</v>
      </c>
      <c r="F190" s="3" t="s">
        <v>18</v>
      </c>
      <c r="G190" s="3" t="s">
        <v>16</v>
      </c>
      <c r="H190" s="3">
        <v>2</v>
      </c>
      <c r="I190" s="7">
        <f>+Tabla2[[#This Row],[ total_bill ]]/Tabla2[[#This Row],[table_size]]</f>
        <v>6.5</v>
      </c>
    </row>
    <row r="191" spans="1:9" x14ac:dyDescent="0.3">
      <c r="A191" s="4">
        <v>13</v>
      </c>
      <c r="B191" s="4">
        <v>2</v>
      </c>
      <c r="C191" s="6">
        <f>+Tabla2[[#This Row],[ tip ]]/Tabla2[[#This Row],[ total_bill ]]</f>
        <v>0.15384615384615385</v>
      </c>
      <c r="D191" s="3" t="s">
        <v>9</v>
      </c>
      <c r="E191" s="3" t="s">
        <v>14</v>
      </c>
      <c r="F191" s="3" t="s">
        <v>18</v>
      </c>
      <c r="G191" s="3" t="s">
        <v>16</v>
      </c>
      <c r="H191" s="3">
        <v>2</v>
      </c>
      <c r="I191" s="7">
        <f>+Tabla2[[#This Row],[ total_bill ]]/Tabla2[[#This Row],[table_size]]</f>
        <v>6.5</v>
      </c>
    </row>
    <row r="192" spans="1:9" x14ac:dyDescent="0.3">
      <c r="A192" s="4">
        <v>12.9</v>
      </c>
      <c r="B192" s="4">
        <v>1.1000000000000001</v>
      </c>
      <c r="C192" s="6">
        <f>+Tabla2[[#This Row],[ tip ]]/Tabla2[[#This Row],[ total_bill ]]</f>
        <v>8.5271317829457363E-2</v>
      </c>
      <c r="D192" s="3" t="s">
        <v>9</v>
      </c>
      <c r="E192" s="3" t="s">
        <v>14</v>
      </c>
      <c r="F192" s="3" t="s">
        <v>17</v>
      </c>
      <c r="G192" s="3" t="s">
        <v>12</v>
      </c>
      <c r="H192" s="3">
        <v>2</v>
      </c>
      <c r="I192" s="7">
        <f>+Tabla2[[#This Row],[ total_bill ]]/Tabla2[[#This Row],[table_size]]</f>
        <v>6.45</v>
      </c>
    </row>
    <row r="193" spans="1:9" x14ac:dyDescent="0.3">
      <c r="A193" s="4">
        <v>12.76</v>
      </c>
      <c r="B193" s="4">
        <v>2.23</v>
      </c>
      <c r="C193" s="6">
        <f>+Tabla2[[#This Row],[ tip ]]/Tabla2[[#This Row],[ total_bill ]]</f>
        <v>0.17476489028213166</v>
      </c>
      <c r="D193" s="3" t="s">
        <v>9</v>
      </c>
      <c r="E193" s="3" t="s">
        <v>14</v>
      </c>
      <c r="F193" s="3" t="s">
        <v>17</v>
      </c>
      <c r="G193" s="3" t="s">
        <v>12</v>
      </c>
      <c r="H193" s="3">
        <v>2</v>
      </c>
      <c r="I193" s="7">
        <f>+Tabla2[[#This Row],[ total_bill ]]/Tabla2[[#This Row],[table_size]]</f>
        <v>6.38</v>
      </c>
    </row>
    <row r="194" spans="1:9" x14ac:dyDescent="0.3">
      <c r="A194" s="4">
        <v>12.74</v>
      </c>
      <c r="B194" s="4">
        <v>2.0099999999999998</v>
      </c>
      <c r="C194" s="6">
        <f>+Tabla2[[#This Row],[ tip ]]/Tabla2[[#This Row],[ total_bill ]]</f>
        <v>0.15777080062794346</v>
      </c>
      <c r="D194" s="3" t="s">
        <v>9</v>
      </c>
      <c r="E194" s="3" t="s">
        <v>14</v>
      </c>
      <c r="F194" s="3" t="s">
        <v>18</v>
      </c>
      <c r="G194" s="3" t="s">
        <v>16</v>
      </c>
      <c r="H194" s="3">
        <v>2</v>
      </c>
      <c r="I194" s="7">
        <f>+Tabla2[[#This Row],[ total_bill ]]/Tabla2[[#This Row],[table_size]]</f>
        <v>6.37</v>
      </c>
    </row>
    <row r="195" spans="1:9" x14ac:dyDescent="0.3">
      <c r="A195" s="4">
        <v>12.69</v>
      </c>
      <c r="B195" s="4">
        <v>2</v>
      </c>
      <c r="C195" s="6">
        <f>+Tabla2[[#This Row],[ tip ]]/Tabla2[[#This Row],[ total_bill ]]</f>
        <v>0.15760441292356187</v>
      </c>
      <c r="D195" s="3" t="s">
        <v>13</v>
      </c>
      <c r="E195" s="3" t="s">
        <v>10</v>
      </c>
      <c r="F195" s="3" t="s">
        <v>17</v>
      </c>
      <c r="G195" s="3" t="s">
        <v>12</v>
      </c>
      <c r="H195" s="3">
        <v>2</v>
      </c>
      <c r="I195" s="7">
        <f>+Tabla2[[#This Row],[ total_bill ]]/Tabla2[[#This Row],[table_size]]</f>
        <v>6.3449999999999998</v>
      </c>
    </row>
    <row r="196" spans="1:9" x14ac:dyDescent="0.3">
      <c r="A196" s="4">
        <v>12.66</v>
      </c>
      <c r="B196" s="4">
        <v>2.5</v>
      </c>
      <c r="C196" s="6">
        <f>+Tabla2[[#This Row],[ tip ]]/Tabla2[[#This Row],[ total_bill ]]</f>
        <v>0.19747235387045814</v>
      </c>
      <c r="D196" s="3" t="s">
        <v>13</v>
      </c>
      <c r="E196" s="3" t="s">
        <v>10</v>
      </c>
      <c r="F196" s="3" t="s">
        <v>11</v>
      </c>
      <c r="G196" s="3" t="s">
        <v>12</v>
      </c>
      <c r="H196" s="3">
        <v>2</v>
      </c>
      <c r="I196" s="7">
        <f>+Tabla2[[#This Row],[ total_bill ]]/Tabla2[[#This Row],[table_size]]</f>
        <v>6.33</v>
      </c>
    </row>
    <row r="197" spans="1:9" x14ac:dyDescent="0.3">
      <c r="A197" s="4">
        <v>12.6</v>
      </c>
      <c r="B197" s="4">
        <v>1</v>
      </c>
      <c r="C197" s="6">
        <f>+Tabla2[[#This Row],[ tip ]]/Tabla2[[#This Row],[ total_bill ]]</f>
        <v>7.9365079365079361E-2</v>
      </c>
      <c r="D197" s="3" t="s">
        <v>13</v>
      </c>
      <c r="E197" s="3" t="s">
        <v>14</v>
      </c>
      <c r="F197" s="3" t="s">
        <v>17</v>
      </c>
      <c r="G197" s="3" t="s">
        <v>12</v>
      </c>
      <c r="H197" s="3">
        <v>2</v>
      </c>
      <c r="I197" s="7">
        <f>+Tabla2[[#This Row],[ total_bill ]]/Tabla2[[#This Row],[table_size]]</f>
        <v>6.3</v>
      </c>
    </row>
    <row r="198" spans="1:9" x14ac:dyDescent="0.3">
      <c r="A198" s="4">
        <v>12.54</v>
      </c>
      <c r="B198" s="4">
        <v>2.5</v>
      </c>
      <c r="C198" s="6">
        <f>+Tabla2[[#This Row],[ tip ]]/Tabla2[[#This Row],[ total_bill ]]</f>
        <v>0.19936204146730463</v>
      </c>
      <c r="D198" s="3" t="s">
        <v>13</v>
      </c>
      <c r="E198" s="3" t="s">
        <v>10</v>
      </c>
      <c r="F198" s="3" t="s">
        <v>11</v>
      </c>
      <c r="G198" s="3" t="s">
        <v>12</v>
      </c>
      <c r="H198" s="3">
        <v>2</v>
      </c>
      <c r="I198" s="7">
        <f>+Tabla2[[#This Row],[ total_bill ]]/Tabla2[[#This Row],[table_size]]</f>
        <v>6.27</v>
      </c>
    </row>
    <row r="199" spans="1:9" x14ac:dyDescent="0.3">
      <c r="A199" s="4">
        <v>12.48</v>
      </c>
      <c r="B199" s="4">
        <v>2.52</v>
      </c>
      <c r="C199" s="6">
        <f>+Tabla2[[#This Row],[ tip ]]/Tabla2[[#This Row],[ total_bill ]]</f>
        <v>0.20192307692307693</v>
      </c>
      <c r="D199" s="3" t="s">
        <v>9</v>
      </c>
      <c r="E199" s="3" t="s">
        <v>10</v>
      </c>
      <c r="F199" s="3" t="s">
        <v>18</v>
      </c>
      <c r="G199" s="3" t="s">
        <v>16</v>
      </c>
      <c r="H199" s="3">
        <v>2</v>
      </c>
      <c r="I199" s="7">
        <f>+Tabla2[[#This Row],[ total_bill ]]/Tabla2[[#This Row],[table_size]]</f>
        <v>6.24</v>
      </c>
    </row>
    <row r="200" spans="1:9" x14ac:dyDescent="0.3">
      <c r="A200" s="4">
        <v>12.46</v>
      </c>
      <c r="B200" s="4">
        <v>1.5</v>
      </c>
      <c r="C200" s="6">
        <f>+Tabla2[[#This Row],[ tip ]]/Tabla2[[#This Row],[ total_bill ]]</f>
        <v>0.1203852327447833</v>
      </c>
      <c r="D200" s="3" t="s">
        <v>13</v>
      </c>
      <c r="E200" s="3" t="s">
        <v>10</v>
      </c>
      <c r="F200" s="3" t="s">
        <v>15</v>
      </c>
      <c r="G200" s="3" t="s">
        <v>12</v>
      </c>
      <c r="H200" s="3">
        <v>2</v>
      </c>
      <c r="I200" s="7">
        <f>+Tabla2[[#This Row],[ total_bill ]]/Tabla2[[#This Row],[table_size]]</f>
        <v>6.23</v>
      </c>
    </row>
    <row r="201" spans="1:9" x14ac:dyDescent="0.3">
      <c r="A201" s="4">
        <v>12.43</v>
      </c>
      <c r="B201" s="4">
        <v>1.8</v>
      </c>
      <c r="C201" s="6">
        <f>+Tabla2[[#This Row],[ tip ]]/Tabla2[[#This Row],[ total_bill ]]</f>
        <v>0.14481094127111827</v>
      </c>
      <c r="D201" s="3" t="s">
        <v>9</v>
      </c>
      <c r="E201" s="3" t="s">
        <v>10</v>
      </c>
      <c r="F201" s="3" t="s">
        <v>18</v>
      </c>
      <c r="G201" s="3" t="s">
        <v>16</v>
      </c>
      <c r="H201" s="3">
        <v>2</v>
      </c>
      <c r="I201" s="7">
        <f>+Tabla2[[#This Row],[ total_bill ]]/Tabla2[[#This Row],[table_size]]</f>
        <v>6.2149999999999999</v>
      </c>
    </row>
    <row r="202" spans="1:9" x14ac:dyDescent="0.3">
      <c r="A202" s="4">
        <v>12.26</v>
      </c>
      <c r="B202" s="4">
        <v>2</v>
      </c>
      <c r="C202" s="6">
        <f>+Tabla2[[#This Row],[ tip ]]/Tabla2[[#This Row],[ total_bill ]]</f>
        <v>0.16313213703099511</v>
      </c>
      <c r="D202" s="3" t="s">
        <v>9</v>
      </c>
      <c r="E202" s="3" t="s">
        <v>10</v>
      </c>
      <c r="F202" s="3" t="s">
        <v>18</v>
      </c>
      <c r="G202" s="3" t="s">
        <v>16</v>
      </c>
      <c r="H202" s="3">
        <v>2</v>
      </c>
      <c r="I202" s="7">
        <f>+Tabla2[[#This Row],[ total_bill ]]/Tabla2[[#This Row],[table_size]]</f>
        <v>6.13</v>
      </c>
    </row>
    <row r="203" spans="1:9" x14ac:dyDescent="0.3">
      <c r="A203" s="4">
        <v>12.16</v>
      </c>
      <c r="B203" s="4">
        <v>2.2000000000000002</v>
      </c>
      <c r="C203" s="6">
        <f>+Tabla2[[#This Row],[ tip ]]/Tabla2[[#This Row],[ total_bill ]]</f>
        <v>0.18092105263157895</v>
      </c>
      <c r="D203" s="3" t="s">
        <v>13</v>
      </c>
      <c r="E203" s="3" t="s">
        <v>14</v>
      </c>
      <c r="F203" s="3" t="s">
        <v>15</v>
      </c>
      <c r="G203" s="3" t="s">
        <v>16</v>
      </c>
      <c r="H203" s="3">
        <v>2</v>
      </c>
      <c r="I203" s="7">
        <f>+Tabla2[[#This Row],[ total_bill ]]/Tabla2[[#This Row],[table_size]]</f>
        <v>6.08</v>
      </c>
    </row>
    <row r="204" spans="1:9" x14ac:dyDescent="0.3">
      <c r="A204" s="4">
        <v>12.03</v>
      </c>
      <c r="B204" s="4">
        <v>1.5</v>
      </c>
      <c r="C204" s="6">
        <f>+Tabla2[[#This Row],[ tip ]]/Tabla2[[#This Row],[ total_bill ]]</f>
        <v>0.12468827930174564</v>
      </c>
      <c r="D204" s="3" t="s">
        <v>13</v>
      </c>
      <c r="E204" s="3" t="s">
        <v>14</v>
      </c>
      <c r="F204" s="3" t="s">
        <v>15</v>
      </c>
      <c r="G204" s="3" t="s">
        <v>12</v>
      </c>
      <c r="H204" s="3">
        <v>2</v>
      </c>
      <c r="I204" s="7">
        <f>+Tabla2[[#This Row],[ total_bill ]]/Tabla2[[#This Row],[table_size]]</f>
        <v>6.0149999999999997</v>
      </c>
    </row>
    <row r="205" spans="1:9" x14ac:dyDescent="0.3">
      <c r="A205" s="4">
        <v>12.02</v>
      </c>
      <c r="B205" s="4">
        <v>1.97</v>
      </c>
      <c r="C205" s="6">
        <f>+Tabla2[[#This Row],[ tip ]]/Tabla2[[#This Row],[ total_bill ]]</f>
        <v>0.16389351081530781</v>
      </c>
      <c r="D205" s="3" t="s">
        <v>13</v>
      </c>
      <c r="E205" s="3" t="s">
        <v>10</v>
      </c>
      <c r="F205" s="3" t="s">
        <v>17</v>
      </c>
      <c r="G205" s="3" t="s">
        <v>12</v>
      </c>
      <c r="H205" s="3">
        <v>2</v>
      </c>
      <c r="I205" s="7">
        <f>+Tabla2[[#This Row],[ total_bill ]]/Tabla2[[#This Row],[table_size]]</f>
        <v>6.01</v>
      </c>
    </row>
    <row r="206" spans="1:9" x14ac:dyDescent="0.3">
      <c r="A206" s="4">
        <v>11.87</v>
      </c>
      <c r="B206" s="4">
        <v>1.63</v>
      </c>
      <c r="C206" s="6">
        <f>+Tabla2[[#This Row],[ tip ]]/Tabla2[[#This Row],[ total_bill ]]</f>
        <v>0.13732097725358045</v>
      </c>
      <c r="D206" s="3" t="s">
        <v>9</v>
      </c>
      <c r="E206" s="3" t="s">
        <v>10</v>
      </c>
      <c r="F206" s="3" t="s">
        <v>18</v>
      </c>
      <c r="G206" s="3" t="s">
        <v>16</v>
      </c>
      <c r="H206" s="3">
        <v>2</v>
      </c>
      <c r="I206" s="7">
        <f>+Tabla2[[#This Row],[ total_bill ]]/Tabla2[[#This Row],[table_size]]</f>
        <v>5.9349999999999996</v>
      </c>
    </row>
    <row r="207" spans="1:9" x14ac:dyDescent="0.3">
      <c r="A207" s="4">
        <v>11.69</v>
      </c>
      <c r="B207" s="4">
        <v>2.31</v>
      </c>
      <c r="C207" s="6">
        <f>+Tabla2[[#This Row],[ tip ]]/Tabla2[[#This Row],[ total_bill ]]</f>
        <v>0.19760479041916168</v>
      </c>
      <c r="D207" s="3" t="s">
        <v>13</v>
      </c>
      <c r="E207" s="3" t="s">
        <v>10</v>
      </c>
      <c r="F207" s="3" t="s">
        <v>18</v>
      </c>
      <c r="G207" s="3" t="s">
        <v>16</v>
      </c>
      <c r="H207" s="3">
        <v>2</v>
      </c>
      <c r="I207" s="7">
        <f>+Tabla2[[#This Row],[ total_bill ]]/Tabla2[[#This Row],[table_size]]</f>
        <v>5.8449999999999998</v>
      </c>
    </row>
    <row r="208" spans="1:9" x14ac:dyDescent="0.3">
      <c r="A208" s="4">
        <v>11.61</v>
      </c>
      <c r="B208" s="4">
        <v>3.39</v>
      </c>
      <c r="C208" s="6">
        <f>+Tabla2[[#This Row],[ tip ]]/Tabla2[[#This Row],[ total_bill ]]</f>
        <v>0.29198966408268734</v>
      </c>
      <c r="D208" s="3" t="s">
        <v>13</v>
      </c>
      <c r="E208" s="3" t="s">
        <v>10</v>
      </c>
      <c r="F208" s="3" t="s">
        <v>17</v>
      </c>
      <c r="G208" s="3" t="s">
        <v>12</v>
      </c>
      <c r="H208" s="3">
        <v>2</v>
      </c>
      <c r="I208" s="7">
        <f>+Tabla2[[#This Row],[ total_bill ]]/Tabla2[[#This Row],[table_size]]</f>
        <v>5.8049999999999997</v>
      </c>
    </row>
    <row r="209" spans="1:9" x14ac:dyDescent="0.3">
      <c r="A209" s="4">
        <v>11.59</v>
      </c>
      <c r="B209" s="4">
        <v>1.5</v>
      </c>
      <c r="C209" s="6">
        <f>+Tabla2[[#This Row],[ tip ]]/Tabla2[[#This Row],[ total_bill ]]</f>
        <v>0.12942191544434858</v>
      </c>
      <c r="D209" s="3" t="s">
        <v>13</v>
      </c>
      <c r="E209" s="3" t="s">
        <v>14</v>
      </c>
      <c r="F209" s="3" t="s">
        <v>17</v>
      </c>
      <c r="G209" s="3" t="s">
        <v>12</v>
      </c>
      <c r="H209" s="3">
        <v>2</v>
      </c>
      <c r="I209" s="7">
        <f>+Tabla2[[#This Row],[ total_bill ]]/Tabla2[[#This Row],[table_size]]</f>
        <v>5.7949999999999999</v>
      </c>
    </row>
    <row r="210" spans="1:9" x14ac:dyDescent="0.3">
      <c r="A210" s="4">
        <v>11.38</v>
      </c>
      <c r="B210" s="4">
        <v>2</v>
      </c>
      <c r="C210" s="6">
        <f>+Tabla2[[#This Row],[ tip ]]/Tabla2[[#This Row],[ total_bill ]]</f>
        <v>0.17574692442882248</v>
      </c>
      <c r="D210" s="3" t="s">
        <v>9</v>
      </c>
      <c r="E210" s="3" t="s">
        <v>10</v>
      </c>
      <c r="F210" s="3" t="s">
        <v>18</v>
      </c>
      <c r="G210" s="3" t="s">
        <v>16</v>
      </c>
      <c r="H210" s="3">
        <v>2</v>
      </c>
      <c r="I210" s="7">
        <f>+Tabla2[[#This Row],[ total_bill ]]/Tabla2[[#This Row],[table_size]]</f>
        <v>5.69</v>
      </c>
    </row>
    <row r="211" spans="1:9" x14ac:dyDescent="0.3">
      <c r="A211" s="4">
        <v>11.35</v>
      </c>
      <c r="B211" s="4">
        <v>2.5</v>
      </c>
      <c r="C211" s="6">
        <f>+Tabla2[[#This Row],[ tip ]]/Tabla2[[#This Row],[ total_bill ]]</f>
        <v>0.22026431718061676</v>
      </c>
      <c r="D211" s="3" t="s">
        <v>9</v>
      </c>
      <c r="E211" s="3" t="s">
        <v>14</v>
      </c>
      <c r="F211" s="3" t="s">
        <v>15</v>
      </c>
      <c r="G211" s="3" t="s">
        <v>12</v>
      </c>
      <c r="H211" s="3">
        <v>2</v>
      </c>
      <c r="I211" s="7">
        <f>+Tabla2[[#This Row],[ total_bill ]]/Tabla2[[#This Row],[table_size]]</f>
        <v>5.6749999999999998</v>
      </c>
    </row>
    <row r="212" spans="1:9" x14ac:dyDescent="0.3">
      <c r="A212" s="4">
        <v>11.24</v>
      </c>
      <c r="B212" s="4">
        <v>1.76</v>
      </c>
      <c r="C212" s="6">
        <f>+Tabla2[[#This Row],[ tip ]]/Tabla2[[#This Row],[ total_bill ]]</f>
        <v>0.15658362989323843</v>
      </c>
      <c r="D212" s="3" t="s">
        <v>13</v>
      </c>
      <c r="E212" s="3" t="s">
        <v>14</v>
      </c>
      <c r="F212" s="3" t="s">
        <v>17</v>
      </c>
      <c r="G212" s="3" t="s">
        <v>12</v>
      </c>
      <c r="H212" s="3">
        <v>2</v>
      </c>
      <c r="I212" s="7">
        <f>+Tabla2[[#This Row],[ total_bill ]]/Tabla2[[#This Row],[table_size]]</f>
        <v>5.62</v>
      </c>
    </row>
    <row r="213" spans="1:9" x14ac:dyDescent="0.3">
      <c r="A213" s="4">
        <v>11.17</v>
      </c>
      <c r="B213" s="4">
        <v>1.5</v>
      </c>
      <c r="C213" s="6">
        <f>+Tabla2[[#This Row],[ tip ]]/Tabla2[[#This Row],[ total_bill ]]</f>
        <v>0.13428827215756492</v>
      </c>
      <c r="D213" s="3" t="s">
        <v>9</v>
      </c>
      <c r="E213" s="3" t="s">
        <v>10</v>
      </c>
      <c r="F213" s="3" t="s">
        <v>18</v>
      </c>
      <c r="G213" s="3" t="s">
        <v>16</v>
      </c>
      <c r="H213" s="3">
        <v>2</v>
      </c>
      <c r="I213" s="7">
        <f>+Tabla2[[#This Row],[ total_bill ]]/Tabla2[[#This Row],[table_size]]</f>
        <v>5.585</v>
      </c>
    </row>
    <row r="214" spans="1:9" x14ac:dyDescent="0.3">
      <c r="A214" s="4">
        <v>11.02</v>
      </c>
      <c r="B214" s="4">
        <v>1.98</v>
      </c>
      <c r="C214" s="6">
        <f>+Tabla2[[#This Row],[ tip ]]/Tabla2[[#This Row],[ total_bill ]]</f>
        <v>0.17967332123411978</v>
      </c>
      <c r="D214" s="3" t="s">
        <v>13</v>
      </c>
      <c r="E214" s="3" t="s">
        <v>14</v>
      </c>
      <c r="F214" s="3" t="s">
        <v>17</v>
      </c>
      <c r="G214" s="3" t="s">
        <v>12</v>
      </c>
      <c r="H214" s="3">
        <v>2</v>
      </c>
      <c r="I214" s="7">
        <f>+Tabla2[[#This Row],[ total_bill ]]/Tabla2[[#This Row],[table_size]]</f>
        <v>5.51</v>
      </c>
    </row>
    <row r="215" spans="1:9" x14ac:dyDescent="0.3">
      <c r="A215" s="4">
        <v>10.77</v>
      </c>
      <c r="B215" s="4">
        <v>1.47</v>
      </c>
      <c r="C215" s="6">
        <f>+Tabla2[[#This Row],[ tip ]]/Tabla2[[#This Row],[ total_bill ]]</f>
        <v>0.13649025069637882</v>
      </c>
      <c r="D215" s="3" t="s">
        <v>13</v>
      </c>
      <c r="E215" s="3" t="s">
        <v>10</v>
      </c>
      <c r="F215" s="3" t="s">
        <v>17</v>
      </c>
      <c r="G215" s="3" t="s">
        <v>12</v>
      </c>
      <c r="H215" s="3">
        <v>2</v>
      </c>
      <c r="I215" s="7">
        <f>+Tabla2[[#This Row],[ total_bill ]]/Tabla2[[#This Row],[table_size]]</f>
        <v>5.3849999999999998</v>
      </c>
    </row>
    <row r="216" spans="1:9" x14ac:dyDescent="0.3">
      <c r="A216" s="4">
        <v>10.65</v>
      </c>
      <c r="B216" s="4">
        <v>1.5</v>
      </c>
      <c r="C216" s="6">
        <f>+Tabla2[[#This Row],[ tip ]]/Tabla2[[#This Row],[ total_bill ]]</f>
        <v>0.14084507042253522</v>
      </c>
      <c r="D216" s="3" t="s">
        <v>9</v>
      </c>
      <c r="E216" s="3" t="s">
        <v>10</v>
      </c>
      <c r="F216" s="3" t="s">
        <v>18</v>
      </c>
      <c r="G216" s="3" t="s">
        <v>16</v>
      </c>
      <c r="H216" s="3">
        <v>2</v>
      </c>
      <c r="I216" s="7">
        <f>+Tabla2[[#This Row],[ total_bill ]]/Tabla2[[#This Row],[table_size]]</f>
        <v>5.3250000000000002</v>
      </c>
    </row>
    <row r="217" spans="1:9" x14ac:dyDescent="0.3">
      <c r="A217" s="4">
        <v>10.63</v>
      </c>
      <c r="B217" s="4">
        <v>2</v>
      </c>
      <c r="C217" s="6">
        <f>+Tabla2[[#This Row],[ tip ]]/Tabla2[[#This Row],[ total_bill ]]</f>
        <v>0.18814675446848542</v>
      </c>
      <c r="D217" s="3" t="s">
        <v>9</v>
      </c>
      <c r="E217" s="3" t="s">
        <v>14</v>
      </c>
      <c r="F217" s="3" t="s">
        <v>17</v>
      </c>
      <c r="G217" s="3" t="s">
        <v>12</v>
      </c>
      <c r="H217" s="3">
        <v>2</v>
      </c>
      <c r="I217" s="7">
        <f>+Tabla2[[#This Row],[ total_bill ]]/Tabla2[[#This Row],[table_size]]</f>
        <v>5.3150000000000004</v>
      </c>
    </row>
    <row r="218" spans="1:9" x14ac:dyDescent="0.3">
      <c r="A218" s="4">
        <v>10.59</v>
      </c>
      <c r="B218" s="4">
        <v>1.61</v>
      </c>
      <c r="C218" s="6">
        <f>+Tabla2[[#This Row],[ tip ]]/Tabla2[[#This Row],[ total_bill ]]</f>
        <v>0.15203021718602455</v>
      </c>
      <c r="D218" s="3" t="s">
        <v>9</v>
      </c>
      <c r="E218" s="3" t="s">
        <v>14</v>
      </c>
      <c r="F218" s="3" t="s">
        <v>17</v>
      </c>
      <c r="G218" s="3" t="s">
        <v>12</v>
      </c>
      <c r="H218" s="3">
        <v>2</v>
      </c>
      <c r="I218" s="7">
        <f>+Tabla2[[#This Row],[ total_bill ]]/Tabla2[[#This Row],[table_size]]</f>
        <v>5.2949999999999999</v>
      </c>
    </row>
    <row r="219" spans="1:9" x14ac:dyDescent="0.3">
      <c r="A219" s="4">
        <v>10.51</v>
      </c>
      <c r="B219" s="4">
        <v>1.25</v>
      </c>
      <c r="C219" s="6">
        <f>+Tabla2[[#This Row],[ tip ]]/Tabla2[[#This Row],[ total_bill ]]</f>
        <v>0.11893434823977164</v>
      </c>
      <c r="D219" s="3" t="s">
        <v>13</v>
      </c>
      <c r="E219" s="3" t="s">
        <v>10</v>
      </c>
      <c r="F219" s="3" t="s">
        <v>17</v>
      </c>
      <c r="G219" s="3" t="s">
        <v>12</v>
      </c>
      <c r="H219" s="3">
        <v>2</v>
      </c>
      <c r="I219" s="7">
        <f>+Tabla2[[#This Row],[ total_bill ]]/Tabla2[[#This Row],[table_size]]</f>
        <v>5.2549999999999999</v>
      </c>
    </row>
    <row r="220" spans="1:9" x14ac:dyDescent="0.3">
      <c r="A220" s="4">
        <v>10.34</v>
      </c>
      <c r="B220" s="4">
        <v>2</v>
      </c>
      <c r="C220" s="6">
        <f>+Tabla2[[#This Row],[ tip ]]/Tabla2[[#This Row],[ total_bill ]]</f>
        <v>0.19342359767891684</v>
      </c>
      <c r="D220" s="3" t="s">
        <v>13</v>
      </c>
      <c r="E220" s="3" t="s">
        <v>14</v>
      </c>
      <c r="F220" s="3" t="s">
        <v>18</v>
      </c>
      <c r="G220" s="3" t="s">
        <v>16</v>
      </c>
      <c r="H220" s="3">
        <v>2</v>
      </c>
      <c r="I220" s="7">
        <f>+Tabla2[[#This Row],[ total_bill ]]/Tabla2[[#This Row],[table_size]]</f>
        <v>5.17</v>
      </c>
    </row>
    <row r="221" spans="1:9" x14ac:dyDescent="0.3">
      <c r="A221" s="4">
        <v>10.34</v>
      </c>
      <c r="B221" s="4">
        <v>1.66</v>
      </c>
      <c r="C221" s="6">
        <f>+Tabla2[[#This Row],[ tip ]]/Tabla2[[#This Row],[ total_bill ]]</f>
        <v>0.16054158607350097</v>
      </c>
      <c r="D221" s="3" t="s">
        <v>13</v>
      </c>
      <c r="E221" s="3" t="s">
        <v>10</v>
      </c>
      <c r="F221" s="3" t="s">
        <v>11</v>
      </c>
      <c r="G221" s="3" t="s">
        <v>12</v>
      </c>
      <c r="H221" s="3">
        <v>3</v>
      </c>
      <c r="I221" s="7">
        <f>+Tabla2[[#This Row],[ total_bill ]]/Tabla2[[#This Row],[table_size]]</f>
        <v>3.4466666666666668</v>
      </c>
    </row>
    <row r="222" spans="1:9" x14ac:dyDescent="0.3">
      <c r="A222" s="4">
        <v>10.33</v>
      </c>
      <c r="B222" s="4">
        <v>2</v>
      </c>
      <c r="C222" s="6">
        <f>+Tabla2[[#This Row],[ tip ]]/Tabla2[[#This Row],[ total_bill ]]</f>
        <v>0.1936108422071636</v>
      </c>
      <c r="D222" s="3" t="s">
        <v>9</v>
      </c>
      <c r="E222" s="3" t="s">
        <v>10</v>
      </c>
      <c r="F222" s="3" t="s">
        <v>18</v>
      </c>
      <c r="G222" s="3" t="s">
        <v>16</v>
      </c>
      <c r="H222" s="3">
        <v>2</v>
      </c>
      <c r="I222" s="7">
        <f>+Tabla2[[#This Row],[ total_bill ]]/Tabla2[[#This Row],[table_size]]</f>
        <v>5.165</v>
      </c>
    </row>
    <row r="223" spans="1:9" x14ac:dyDescent="0.3">
      <c r="A223" s="4">
        <v>10.33</v>
      </c>
      <c r="B223" s="4">
        <v>1.67</v>
      </c>
      <c r="C223" s="6">
        <f>+Tabla2[[#This Row],[ tip ]]/Tabla2[[#This Row],[ total_bill ]]</f>
        <v>0.16166505324298161</v>
      </c>
      <c r="D223" s="3" t="s">
        <v>9</v>
      </c>
      <c r="E223" s="3" t="s">
        <v>10</v>
      </c>
      <c r="F223" s="3" t="s">
        <v>11</v>
      </c>
      <c r="G223" s="3" t="s">
        <v>12</v>
      </c>
      <c r="H223" s="3">
        <v>3</v>
      </c>
      <c r="I223" s="7">
        <f>+Tabla2[[#This Row],[ total_bill ]]/Tabla2[[#This Row],[table_size]]</f>
        <v>3.4433333333333334</v>
      </c>
    </row>
    <row r="224" spans="1:9" x14ac:dyDescent="0.3">
      <c r="A224" s="4">
        <v>10.29</v>
      </c>
      <c r="B224" s="4">
        <v>2.6</v>
      </c>
      <c r="C224" s="6">
        <f>+Tabla2[[#This Row],[ tip ]]/Tabla2[[#This Row],[ total_bill ]]</f>
        <v>0.25267249757045679</v>
      </c>
      <c r="D224" s="3" t="s">
        <v>9</v>
      </c>
      <c r="E224" s="3" t="s">
        <v>10</v>
      </c>
      <c r="F224" s="3" t="s">
        <v>11</v>
      </c>
      <c r="G224" s="3" t="s">
        <v>12</v>
      </c>
      <c r="H224" s="3">
        <v>2</v>
      </c>
      <c r="I224" s="7">
        <f>+Tabla2[[#This Row],[ total_bill ]]/Tabla2[[#This Row],[table_size]]</f>
        <v>5.1449999999999996</v>
      </c>
    </row>
    <row r="225" spans="1:9" x14ac:dyDescent="0.3">
      <c r="A225" s="4">
        <v>10.27</v>
      </c>
      <c r="B225" s="4">
        <v>1.71</v>
      </c>
      <c r="C225" s="6">
        <f>+Tabla2[[#This Row],[ tip ]]/Tabla2[[#This Row],[ total_bill ]]</f>
        <v>0.1665043816942551</v>
      </c>
      <c r="D225" s="3" t="s">
        <v>13</v>
      </c>
      <c r="E225" s="3" t="s">
        <v>10</v>
      </c>
      <c r="F225" s="3" t="s">
        <v>11</v>
      </c>
      <c r="G225" s="3" t="s">
        <v>12</v>
      </c>
      <c r="H225" s="3">
        <v>2</v>
      </c>
      <c r="I225" s="7">
        <f>+Tabla2[[#This Row],[ total_bill ]]/Tabla2[[#This Row],[table_size]]</f>
        <v>5.1349999999999998</v>
      </c>
    </row>
    <row r="226" spans="1:9" x14ac:dyDescent="0.3">
      <c r="A226" s="4">
        <v>10.09</v>
      </c>
      <c r="B226" s="4">
        <v>2</v>
      </c>
      <c r="C226" s="6">
        <f>+Tabla2[[#This Row],[ tip ]]/Tabla2[[#This Row],[ total_bill ]]</f>
        <v>0.19821605550049554</v>
      </c>
      <c r="D226" s="3" t="s">
        <v>9</v>
      </c>
      <c r="E226" s="3" t="s">
        <v>14</v>
      </c>
      <c r="F226" s="3" t="s">
        <v>15</v>
      </c>
      <c r="G226" s="3" t="s">
        <v>16</v>
      </c>
      <c r="H226" s="3">
        <v>2</v>
      </c>
      <c r="I226" s="7">
        <f>+Tabla2[[#This Row],[ total_bill ]]/Tabla2[[#This Row],[table_size]]</f>
        <v>5.0449999999999999</v>
      </c>
    </row>
    <row r="227" spans="1:9" x14ac:dyDescent="0.3">
      <c r="A227" s="4">
        <v>10.07</v>
      </c>
      <c r="B227" s="4">
        <v>1.83</v>
      </c>
      <c r="C227" s="6">
        <f>+Tabla2[[#This Row],[ tip ]]/Tabla2[[#This Row],[ total_bill ]]</f>
        <v>0.18172790466732869</v>
      </c>
      <c r="D227" s="3" t="s">
        <v>9</v>
      </c>
      <c r="E227" s="3" t="s">
        <v>10</v>
      </c>
      <c r="F227" s="3" t="s">
        <v>18</v>
      </c>
      <c r="G227" s="3" t="s">
        <v>16</v>
      </c>
      <c r="H227" s="3">
        <v>1</v>
      </c>
      <c r="I227" s="7">
        <f>+Tabla2[[#This Row],[ total_bill ]]/Tabla2[[#This Row],[table_size]]</f>
        <v>10.07</v>
      </c>
    </row>
    <row r="228" spans="1:9" x14ac:dyDescent="0.3">
      <c r="A228" s="4">
        <v>10.07</v>
      </c>
      <c r="B228" s="4">
        <v>1.25</v>
      </c>
      <c r="C228" s="6">
        <f>+Tabla2[[#This Row],[ tip ]]/Tabla2[[#This Row],[ total_bill ]]</f>
        <v>0.12413108242303872</v>
      </c>
      <c r="D228" s="3" t="s">
        <v>13</v>
      </c>
      <c r="E228" s="3" t="s">
        <v>10</v>
      </c>
      <c r="F228" s="3" t="s">
        <v>17</v>
      </c>
      <c r="G228" s="3" t="s">
        <v>12</v>
      </c>
      <c r="H228" s="3">
        <v>2</v>
      </c>
      <c r="I228" s="7">
        <f>+Tabla2[[#This Row],[ total_bill ]]/Tabla2[[#This Row],[table_size]]</f>
        <v>5.0350000000000001</v>
      </c>
    </row>
    <row r="229" spans="1:9" x14ac:dyDescent="0.3">
      <c r="A229" s="4">
        <v>9.94</v>
      </c>
      <c r="B229" s="4">
        <v>1.56</v>
      </c>
      <c r="C229" s="6">
        <f>+Tabla2[[#This Row],[ tip ]]/Tabla2[[#This Row],[ total_bill ]]</f>
        <v>0.15694164989939638</v>
      </c>
      <c r="D229" s="3" t="s">
        <v>13</v>
      </c>
      <c r="E229" s="3" t="s">
        <v>10</v>
      </c>
      <c r="F229" s="3" t="s">
        <v>11</v>
      </c>
      <c r="G229" s="3" t="s">
        <v>12</v>
      </c>
      <c r="H229" s="3">
        <v>2</v>
      </c>
      <c r="I229" s="7">
        <f>+Tabla2[[#This Row],[ total_bill ]]/Tabla2[[#This Row],[table_size]]</f>
        <v>4.97</v>
      </c>
    </row>
    <row r="230" spans="1:9" x14ac:dyDescent="0.3">
      <c r="A230" s="4">
        <v>9.7799999999999994</v>
      </c>
      <c r="B230" s="4">
        <v>1.73</v>
      </c>
      <c r="C230" s="6">
        <f>+Tabla2[[#This Row],[ tip ]]/Tabla2[[#This Row],[ total_bill ]]</f>
        <v>0.17689161554192229</v>
      </c>
      <c r="D230" s="3" t="s">
        <v>13</v>
      </c>
      <c r="E230" s="3" t="s">
        <v>10</v>
      </c>
      <c r="F230" s="3" t="s">
        <v>18</v>
      </c>
      <c r="G230" s="3" t="s">
        <v>16</v>
      </c>
      <c r="H230" s="3">
        <v>2</v>
      </c>
      <c r="I230" s="7">
        <f>+Tabla2[[#This Row],[ total_bill ]]/Tabla2[[#This Row],[table_size]]</f>
        <v>4.8899999999999997</v>
      </c>
    </row>
    <row r="231" spans="1:9" x14ac:dyDescent="0.3">
      <c r="A231" s="4">
        <v>9.68</v>
      </c>
      <c r="B231" s="4">
        <v>1.32</v>
      </c>
      <c r="C231" s="6">
        <f>+Tabla2[[#This Row],[ tip ]]/Tabla2[[#This Row],[ total_bill ]]</f>
        <v>0.13636363636363638</v>
      </c>
      <c r="D231" s="3" t="s">
        <v>13</v>
      </c>
      <c r="E231" s="3" t="s">
        <v>10</v>
      </c>
      <c r="F231" s="3" t="s">
        <v>11</v>
      </c>
      <c r="G231" s="3" t="s">
        <v>12</v>
      </c>
      <c r="H231" s="3">
        <v>2</v>
      </c>
      <c r="I231" s="7">
        <f>+Tabla2[[#This Row],[ total_bill ]]/Tabla2[[#This Row],[table_size]]</f>
        <v>4.84</v>
      </c>
    </row>
    <row r="232" spans="1:9" x14ac:dyDescent="0.3">
      <c r="A232" s="4">
        <v>9.6</v>
      </c>
      <c r="B232" s="4">
        <v>4</v>
      </c>
      <c r="C232" s="6">
        <f>+Tabla2[[#This Row],[ tip ]]/Tabla2[[#This Row],[ total_bill ]]</f>
        <v>0.41666666666666669</v>
      </c>
      <c r="D232" s="3" t="s">
        <v>9</v>
      </c>
      <c r="E232" s="3" t="s">
        <v>14</v>
      </c>
      <c r="F232" s="3" t="s">
        <v>11</v>
      </c>
      <c r="G232" s="3" t="s">
        <v>12</v>
      </c>
      <c r="H232" s="3">
        <v>2</v>
      </c>
      <c r="I232" s="7">
        <f>+Tabla2[[#This Row],[ total_bill ]]/Tabla2[[#This Row],[table_size]]</f>
        <v>4.8</v>
      </c>
    </row>
    <row r="233" spans="1:9" x14ac:dyDescent="0.3">
      <c r="A233" s="4">
        <v>9.5500000000000007</v>
      </c>
      <c r="B233" s="4">
        <v>1.45</v>
      </c>
      <c r="C233" s="6">
        <f>+Tabla2[[#This Row],[ tip ]]/Tabla2[[#This Row],[ total_bill ]]</f>
        <v>0.15183246073298429</v>
      </c>
      <c r="D233" s="3" t="s">
        <v>13</v>
      </c>
      <c r="E233" s="3" t="s">
        <v>10</v>
      </c>
      <c r="F233" s="3" t="s">
        <v>17</v>
      </c>
      <c r="G233" s="3" t="s">
        <v>12</v>
      </c>
      <c r="H233" s="3">
        <v>2</v>
      </c>
      <c r="I233" s="7">
        <f>+Tabla2[[#This Row],[ total_bill ]]/Tabla2[[#This Row],[table_size]]</f>
        <v>4.7750000000000004</v>
      </c>
    </row>
    <row r="234" spans="1:9" x14ac:dyDescent="0.3">
      <c r="A234" s="4">
        <v>8.77</v>
      </c>
      <c r="B234" s="4">
        <v>2</v>
      </c>
      <c r="C234" s="6">
        <f>+Tabla2[[#This Row],[ tip ]]/Tabla2[[#This Row],[ total_bill ]]</f>
        <v>0.22805017103762829</v>
      </c>
      <c r="D234" s="3" t="s">
        <v>13</v>
      </c>
      <c r="E234" s="3" t="s">
        <v>10</v>
      </c>
      <c r="F234" s="3" t="s">
        <v>11</v>
      </c>
      <c r="G234" s="3" t="s">
        <v>12</v>
      </c>
      <c r="H234" s="3">
        <v>2</v>
      </c>
      <c r="I234" s="7">
        <f>+Tabla2[[#This Row],[ total_bill ]]/Tabla2[[#This Row],[table_size]]</f>
        <v>4.3849999999999998</v>
      </c>
    </row>
    <row r="235" spans="1:9" x14ac:dyDescent="0.3">
      <c r="A235" s="4">
        <v>8.58</v>
      </c>
      <c r="B235" s="4">
        <v>1.92</v>
      </c>
      <c r="C235" s="6">
        <f>+Tabla2[[#This Row],[ tip ]]/Tabla2[[#This Row],[ total_bill ]]</f>
        <v>0.22377622377622378</v>
      </c>
      <c r="D235" s="3" t="s">
        <v>13</v>
      </c>
      <c r="E235" s="3" t="s">
        <v>14</v>
      </c>
      <c r="F235" s="3" t="s">
        <v>15</v>
      </c>
      <c r="G235" s="3" t="s">
        <v>16</v>
      </c>
      <c r="H235" s="3">
        <v>1</v>
      </c>
      <c r="I235" s="7">
        <f>+Tabla2[[#This Row],[ total_bill ]]/Tabla2[[#This Row],[table_size]]</f>
        <v>8.58</v>
      </c>
    </row>
    <row r="236" spans="1:9" x14ac:dyDescent="0.3">
      <c r="A236" s="4">
        <v>8.52</v>
      </c>
      <c r="B236" s="4">
        <v>1.48</v>
      </c>
      <c r="C236" s="6">
        <f>+Tabla2[[#This Row],[ tip ]]/Tabla2[[#This Row],[ total_bill ]]</f>
        <v>0.17370892018779344</v>
      </c>
      <c r="D236" s="3" t="s">
        <v>13</v>
      </c>
      <c r="E236" s="3" t="s">
        <v>10</v>
      </c>
      <c r="F236" s="3" t="s">
        <v>18</v>
      </c>
      <c r="G236" s="3" t="s">
        <v>16</v>
      </c>
      <c r="H236" s="3">
        <v>2</v>
      </c>
      <c r="I236" s="7">
        <f>+Tabla2[[#This Row],[ total_bill ]]/Tabla2[[#This Row],[table_size]]</f>
        <v>4.26</v>
      </c>
    </row>
    <row r="237" spans="1:9" x14ac:dyDescent="0.3">
      <c r="A237" s="4">
        <v>8.51</v>
      </c>
      <c r="B237" s="4">
        <v>1.25</v>
      </c>
      <c r="C237" s="6">
        <f>+Tabla2[[#This Row],[ tip ]]/Tabla2[[#This Row],[ total_bill ]]</f>
        <v>0.14688601645123384</v>
      </c>
      <c r="D237" s="3" t="s">
        <v>9</v>
      </c>
      <c r="E237" s="3" t="s">
        <v>10</v>
      </c>
      <c r="F237" s="3" t="s">
        <v>18</v>
      </c>
      <c r="G237" s="3" t="s">
        <v>16</v>
      </c>
      <c r="H237" s="3">
        <v>2</v>
      </c>
      <c r="I237" s="7">
        <f>+Tabla2[[#This Row],[ total_bill ]]/Tabla2[[#This Row],[table_size]]</f>
        <v>4.2549999999999999</v>
      </c>
    </row>
    <row r="238" spans="1:9" x14ac:dyDescent="0.3">
      <c r="A238" s="4">
        <v>8.35</v>
      </c>
      <c r="B238" s="4">
        <v>1.5</v>
      </c>
      <c r="C238" s="6">
        <f>+Tabla2[[#This Row],[ tip ]]/Tabla2[[#This Row],[ total_bill ]]</f>
        <v>0.17964071856287425</v>
      </c>
      <c r="D238" s="3" t="s">
        <v>9</v>
      </c>
      <c r="E238" s="3" t="s">
        <v>10</v>
      </c>
      <c r="F238" s="3" t="s">
        <v>18</v>
      </c>
      <c r="G238" s="3" t="s">
        <v>16</v>
      </c>
      <c r="H238" s="3">
        <v>2</v>
      </c>
      <c r="I238" s="7">
        <f>+Tabla2[[#This Row],[ total_bill ]]/Tabla2[[#This Row],[table_size]]</f>
        <v>4.1749999999999998</v>
      </c>
    </row>
    <row r="239" spans="1:9" x14ac:dyDescent="0.3">
      <c r="A239" s="4">
        <v>7.74</v>
      </c>
      <c r="B239" s="4">
        <v>1.44</v>
      </c>
      <c r="C239" s="6">
        <f>+Tabla2[[#This Row],[ tip ]]/Tabla2[[#This Row],[ total_bill ]]</f>
        <v>0.18604651162790697</v>
      </c>
      <c r="D239" s="3" t="s">
        <v>13</v>
      </c>
      <c r="E239" s="3" t="s">
        <v>14</v>
      </c>
      <c r="F239" s="3" t="s">
        <v>17</v>
      </c>
      <c r="G239" s="3" t="s">
        <v>12</v>
      </c>
      <c r="H239" s="3">
        <v>2</v>
      </c>
      <c r="I239" s="7">
        <f>+Tabla2[[#This Row],[ total_bill ]]/Tabla2[[#This Row],[table_size]]</f>
        <v>3.87</v>
      </c>
    </row>
    <row r="240" spans="1:9" x14ac:dyDescent="0.3">
      <c r="A240" s="4">
        <v>7.56</v>
      </c>
      <c r="B240" s="4">
        <v>1.44</v>
      </c>
      <c r="C240" s="6">
        <f>+Tabla2[[#This Row],[ tip ]]/Tabla2[[#This Row],[ total_bill ]]</f>
        <v>0.19047619047619047</v>
      </c>
      <c r="D240" s="3" t="s">
        <v>13</v>
      </c>
      <c r="E240" s="3" t="s">
        <v>10</v>
      </c>
      <c r="F240" s="3" t="s">
        <v>18</v>
      </c>
      <c r="G240" s="3" t="s">
        <v>16</v>
      </c>
      <c r="H240" s="3">
        <v>2</v>
      </c>
      <c r="I240" s="7">
        <f>+Tabla2[[#This Row],[ total_bill ]]/Tabla2[[#This Row],[table_size]]</f>
        <v>3.78</v>
      </c>
    </row>
    <row r="241" spans="1:9" x14ac:dyDescent="0.3">
      <c r="A241" s="4">
        <v>7.51</v>
      </c>
      <c r="B241" s="4">
        <v>2</v>
      </c>
      <c r="C241" s="6">
        <f>+Tabla2[[#This Row],[ tip ]]/Tabla2[[#This Row],[ total_bill ]]</f>
        <v>0.26631158455392812</v>
      </c>
      <c r="D241" s="3" t="s">
        <v>13</v>
      </c>
      <c r="E241" s="3" t="s">
        <v>10</v>
      </c>
      <c r="F241" s="3" t="s">
        <v>18</v>
      </c>
      <c r="G241" s="3" t="s">
        <v>16</v>
      </c>
      <c r="H241" s="3">
        <v>2</v>
      </c>
      <c r="I241" s="7">
        <f>+Tabla2[[#This Row],[ total_bill ]]/Tabla2[[#This Row],[table_size]]</f>
        <v>3.7549999999999999</v>
      </c>
    </row>
    <row r="242" spans="1:9" x14ac:dyDescent="0.3">
      <c r="A242" s="4">
        <v>7.25</v>
      </c>
      <c r="B242" s="4">
        <v>5.15</v>
      </c>
      <c r="C242" s="6">
        <f>+Tabla2[[#This Row],[ tip ]]/Tabla2[[#This Row],[ total_bill ]]</f>
        <v>0.71034482758620698</v>
      </c>
      <c r="D242" s="3" t="s">
        <v>13</v>
      </c>
      <c r="E242" s="3" t="s">
        <v>14</v>
      </c>
      <c r="F242" s="3" t="s">
        <v>11</v>
      </c>
      <c r="G242" s="3" t="s">
        <v>12</v>
      </c>
      <c r="H242" s="3">
        <v>2</v>
      </c>
      <c r="I242" s="7">
        <f>+Tabla2[[#This Row],[ total_bill ]]/Tabla2[[#This Row],[table_size]]</f>
        <v>3.625</v>
      </c>
    </row>
    <row r="243" spans="1:9" x14ac:dyDescent="0.3">
      <c r="A243" s="4">
        <v>7.25</v>
      </c>
      <c r="B243" s="4">
        <v>1</v>
      </c>
      <c r="C243" s="6">
        <f>+Tabla2[[#This Row],[ tip ]]/Tabla2[[#This Row],[ total_bill ]]</f>
        <v>0.13793103448275862</v>
      </c>
      <c r="D243" s="3" t="s">
        <v>9</v>
      </c>
      <c r="E243" s="3" t="s">
        <v>10</v>
      </c>
      <c r="F243" s="3" t="s">
        <v>17</v>
      </c>
      <c r="G243" s="3" t="s">
        <v>12</v>
      </c>
      <c r="H243" s="3">
        <v>1</v>
      </c>
      <c r="I243" s="7">
        <f>+Tabla2[[#This Row],[ total_bill ]]/Tabla2[[#This Row],[table_size]]</f>
        <v>7.25</v>
      </c>
    </row>
    <row r="244" spans="1:9" x14ac:dyDescent="0.3">
      <c r="A244" s="4">
        <v>5.75</v>
      </c>
      <c r="B244" s="4">
        <v>1</v>
      </c>
      <c r="C244" s="6">
        <f>+Tabla2[[#This Row],[ tip ]]/Tabla2[[#This Row],[ total_bill ]]</f>
        <v>0.17391304347826086</v>
      </c>
      <c r="D244" s="3" t="s">
        <v>9</v>
      </c>
      <c r="E244" s="3" t="s">
        <v>14</v>
      </c>
      <c r="F244" s="3" t="s">
        <v>15</v>
      </c>
      <c r="G244" s="3" t="s">
        <v>12</v>
      </c>
      <c r="H244" s="3">
        <v>2</v>
      </c>
      <c r="I244" s="7">
        <f>+Tabla2[[#This Row],[ total_bill ]]/Tabla2[[#This Row],[table_size]]</f>
        <v>2.875</v>
      </c>
    </row>
    <row r="245" spans="1:9" x14ac:dyDescent="0.3">
      <c r="A245" s="4">
        <v>3.07</v>
      </c>
      <c r="B245" s="4">
        <v>1</v>
      </c>
      <c r="C245" s="6">
        <f>+Tabla2[[#This Row],[ tip ]]/Tabla2[[#This Row],[ total_bill ]]</f>
        <v>0.32573289902280134</v>
      </c>
      <c r="D245" s="3" t="s">
        <v>9</v>
      </c>
      <c r="E245" s="3" t="s">
        <v>14</v>
      </c>
      <c r="F245" s="3" t="s">
        <v>17</v>
      </c>
      <c r="G245" s="3" t="s">
        <v>12</v>
      </c>
      <c r="H245" s="3">
        <v>1</v>
      </c>
      <c r="I245" s="7">
        <f>+Tabla2[[#This Row],[ total_bill ]]/Tabla2[[#This Row],[table_size]]</f>
        <v>3.07</v>
      </c>
    </row>
  </sheetData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E302-BD8E-4BE8-B6CE-19044DE1A4BF}">
  <dimension ref="A1:L1"/>
  <sheetViews>
    <sheetView tabSelected="1" zoomScale="85" zoomScaleNormal="85" workbookViewId="0">
      <selection activeCell="P16" sqref="P16"/>
    </sheetView>
  </sheetViews>
  <sheetFormatPr baseColWidth="10" defaultRowHeight="14.4" x14ac:dyDescent="0.3"/>
  <sheetData>
    <row r="1" spans="1:12" ht="15.6" x14ac:dyDescent="0.3">
      <c r="A1" s="15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</sheetData>
  <mergeCells count="1">
    <mergeCell ref="A1:L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tips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Cuervo</dc:creator>
  <cp:lastModifiedBy>Miguel Alejandro Cuervo Palacios</cp:lastModifiedBy>
  <dcterms:created xsi:type="dcterms:W3CDTF">2025-11-06T23:02:16Z</dcterms:created>
  <dcterms:modified xsi:type="dcterms:W3CDTF">2025-11-10T18:20:44Z</dcterms:modified>
</cp:coreProperties>
</file>